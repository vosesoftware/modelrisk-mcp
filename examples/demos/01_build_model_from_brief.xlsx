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50BEAC13-DFED-4A62-B131-6B90B1B257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C17" i="2" s="1"/>
  <c r="D17" i="2" s="1"/>
  <c r="E17" i="2" s="1"/>
  <c r="F17" i="2" s="1"/>
  <c r="B15" i="2"/>
  <c r="C15" i="2" s="1"/>
  <c r="D15" i="2" l="1"/>
  <c r="C16" i="2"/>
  <c r="C18" i="2" s="1"/>
  <c r="B16" i="2"/>
  <c r="B18" i="2" s="1"/>
  <c r="E15" i="2" l="1"/>
  <c r="D16" i="2"/>
  <c r="D18" i="2" s="1"/>
  <c r="F15" i="2" l="1"/>
  <c r="E16" i="2"/>
  <c r="E18" i="2" s="1"/>
  <c r="F16" i="2" l="1"/>
  <c r="F18" i="2" s="1"/>
  <c r="B20" i="2" s="1"/>
</calcChain>
</file>

<file path=xl/sharedStrings.xml><?xml version="1.0" encoding="utf-8"?>
<sst xmlns="http://schemas.openxmlformats.org/spreadsheetml/2006/main" count="68" uniqueCount="68">
  <si>
    <t>Demo 01 — Build a Monte Carlo model from a brief</t>
  </si>
  <si>
    <t>Claude turns a plain deterministic NPV plan into a full Monte Carlo model, simulates it, and can undo it all.</t>
  </si>
  <si>
    <t>WHAT THIS DEMO SHOWS</t>
  </si>
  <si>
    <t>A coffee chain is evaluating one new store on a 5-year NPV. The Model sheet is a plain deterministic plan.</t>
  </si>
  <si>
    <t>You describe the uncertainty in one sentence; Claude previews the change-set, writes the Vose formulas, runs the simulation, answers questions about the result, and can restore the original model.</t>
  </si>
  <si>
    <t>Tools demonstrated: plan_risk_model, propose_distributions_for_inputs, build_model_from_brief, run_simulation, get_simulation_results, restore_deterministic_state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</si>
  <si>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</si>
  <si>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</si>
  <si>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</si>
  <si>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01_build_model_from_brief.xlsx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</si>
  <si>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</si>
  <si>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</si>
  <si>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</si>
  <si>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Look at the Model sheet of this workbook. Build a Monte Carlo model: make B6 VosePERT(360,420,500) named Year1Revenue, B7 VosePERT(3%,6%,9%) named Growth, B8 VosePERT(35%,38%,43%) named CogsRatio, wrap B20 as output "NPV", and run 5,000 iterations. Then report the mean and P10/P50/P90 of NPV, the chance NPV is negative, and the P80 NPV.</t>
  </si>
  <si>
    <t>Expected: a fully converted, simulated model + headline risk numbers, in one message.</t>
  </si>
  <si>
    <t>STEP-BY-STEP</t>
  </si>
  <si>
    <t>Open the workbook in Excel.</t>
  </si>
  <si>
    <t>PROMPT →  Open 01_build_model_from_brief.xlsx from the demo folder.</t>
  </si>
  <si>
    <t>Expected: the workbook opens; the Model sheet shows the deterministic 5-year plan with NPV in B20.</t>
  </si>
  <si>
    <t>Ask Claude to size up the model.</t>
  </si>
  <si>
    <t>PROMPT →  Look at the Model sheet in this workbook and propose which inputs should be uncertain and what distributions fit them.</t>
  </si>
  <si>
    <t>Expected: a plan naming Year-1 revenue (B6), revenue growth (B7) and the COGS ratio (B8) with suggested distributions (plan_risk_model / propose_distributions_for_inputs).</t>
  </si>
  <si>
    <t>Preview the conversion (nothing is written yet).</t>
  </si>
  <si>
    <t>PROMPT →  Build a Monte Carlo model from this brief: make B6 VosePERT(360,420,500) named Year1Revenue, B7 VosePERT(3%,6%,9%) named Growth, B8 VosePERT(35%,38%,43%) named CogsRatio; wrap B20 as output "NPV". Preview only.</t>
  </si>
  <si>
    <t>Expected: the exact formulas Claude plans to write — a dry_run change-set; nothing changed in the sheet.</t>
  </si>
  <si>
    <t>Commit and simulate in one pass.</t>
  </si>
  <si>
    <t>PROMPT →  Looks good — build it for real and run 5,000 iterations.</t>
  </si>
  <si>
    <t>Expected: the blue input cells now hold VoseInput(...)+VosePERT(...); a validating simulation runs; headline mean/P10/P50/P90 for NPV (build_model_from_brief with dry_run=false, run=true).</t>
  </si>
  <si>
    <t>Interrogate the result.</t>
  </si>
  <si>
    <t>PROMPT →  What is the chance NPV is negative, and the P80 NPV?</t>
  </si>
  <si>
    <t>Expected: a probability of loss and the P80 NPV read straight from the stored simulation results.</t>
  </si>
  <si>
    <t>See the safety net.</t>
  </si>
  <si>
    <t>PROMPT →  Undo everything you wrote and restore the deterministic model.</t>
  </si>
  <si>
    <t>Expected: restore_deterministic_state returns every cell to the original plan — B20 shows the deterministic NPV again.</t>
  </si>
  <si>
    <t>WHAT TO LOOK FOR</t>
  </si>
  <si>
    <t>• The whole convert → simulate → interrogate → undo loop is fully reversible.</t>
  </si>
  <si>
    <t>• The model was built BY the agent, not just described — Claude wrote real Vose formulas into the sheet.</t>
  </si>
  <si>
    <t>• The dry-run preview in step 3 means you approve every change before anything touches the workbook.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</si>
  <si>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</si>
  <si>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</si>
  <si>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</si>
  <si>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</si>
  <si>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</si>
  <si>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New store — 5-year NPV ($k)</t>
  </si>
  <si>
    <t>A deterministic plan Claude will convert into a Monte Carlo model</t>
  </si>
  <si>
    <t>ASSUMPTIONS</t>
  </si>
  <si>
    <t>Capex ($k)</t>
  </si>
  <si>
    <t>Year-1 revenue ($k)</t>
  </si>
  <si>
    <t>Claude will replace with VosePERT(360,420,500) as input Year1Revenue</t>
  </si>
  <si>
    <t>Revenue growth (%/yr)</t>
  </si>
  <si>
    <t>Claude will replace with VosePERT(3%,6%,9%) as input Growth</t>
  </si>
  <si>
    <t>COGS (% of revenue)</t>
  </si>
  <si>
    <t>Claude will replace with VosePERT(35%,38%,43%) as input CogsRatio</t>
  </si>
  <si>
    <t>Year-1 opex ($k)</t>
  </si>
  <si>
    <t>Opex growth (%/yr)</t>
  </si>
  <si>
    <t>Discount rate</t>
  </si>
  <si>
    <t>FIVE-YEAR PLAN ($k)</t>
  </si>
  <si>
    <t>2027</t>
  </si>
  <si>
    <t>2028</t>
  </si>
  <si>
    <t>2029</t>
  </si>
  <si>
    <t>2030</t>
  </si>
  <si>
    <t>2031</t>
  </si>
  <si>
    <t>Revenue</t>
  </si>
  <si>
    <t>COGS</t>
  </si>
  <si>
    <t>Opex</t>
  </si>
  <si>
    <t>Cash flow</t>
  </si>
  <si>
    <t>NPV @ 10% ($k)</t>
  </si>
  <si>
    <t>Claude will wrap this cell as VoseOutput("NPV")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</si>
</sst>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C6EFCE"/>
      </patternFill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3" fontId="6" fillId="5" borderId="0" xfId="0" applyNumberFormat="1" applyFont="1" applyFill="1"/>
    <xf numFmtId="164" fontId="6" fillId="5" borderId="0" xfId="0" applyNumberFormat="1" applyFont="1" applyFill="1"/>
    <xf numFmtId="0" fontId="0" fillId="4" borderId="0" xfId="0" applyFill="1"/>
    <xf numFmtId="0" fontId="5" fillId="4" borderId="0" xfId="0" applyFont="1" applyFill="1" applyAlignment="1">
      <alignment horizontal="right"/>
    </xf>
    <xf numFmtId="165" fontId="0" fillId="0" borderId="0" xfId="0" applyNumberFormat="1"/>
    <xf numFmtId="0" fontId="5" fillId="0" borderId="0" xfId="0" applyFont="1"/>
    <xf numFmtId="165" fontId="5" fillId="0" borderId="0" xfId="0" applyNumberFormat="1" applyFont="1"/>
    <xf numFmtId="165" fontId="7" fillId="6" borderId="0" xfId="0" applyNumberFormat="1" applyFont="1" applyFill="1"/>
    <xf numFmtId="0" fontId="11" fillId="0" borderId="0" xfId="0" applyFont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/>
    <xf numFmtId="0" fontId="14" fillId="10" borderId="0" xfId="0" applyFont="1" applyFill="1"/>
    <xf numFmtId="0" fontId="0" fillId="11" borderId="0" xfId="0" applyFill="1"/>
    <xf numFmtId="0" fontId="15" fillId="12" borderId="0" xfId="0" applyFont="1" applyFill="1"/>
    <xf numFmtId="0" fontId="8" fillId="7" borderId="0" xfId="0" applyFont="1" applyFill="1" applyAlignment="1">
      <alignment horizontal="left" vertical="center"/>
    </xf>
    <xf numFmtId="0" fontId="0" fillId="7" borderId="0" xfId="0" applyFill="1"/>
    <xf numFmtId="0" fontId="10" fillId="8" borderId="0" xfId="0" applyFont="1" applyFill="1"/>
    <xf numFmtId="0" fontId="0" fillId="8" borderId="0" xfId="0" applyFill="1"/>
    <xf numFmtId="0" fontId="9" fillId="0" borderId="0" xfId="0" applyFont="1"/>
    <xf numFmtId="0" fontId="0" fillId="0" borderId="0" xfId="0"/>
    <xf numFmtId="0" fontId="3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4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8" t="s">
        <v>0</v>
      </c>
      <c r="B1" s="19"/>
    </row>
    <row r="2" spans="1:2" ht="18" customHeight="1" x14ac:dyDescent="0.45">
      <c r="A2" s="22" t="s">
        <v>1</v>
      </c>
      <c r="B2" s="23"/>
    </row>
    <row r="4" spans="1:2" ht="16.05" customHeight="1" x14ac:dyDescent="0.45">
      <c r="A4" s="20" t="s">
        <v>2</v>
      </c>
      <c r="B4" s="21"/>
    </row>
    <row r="5" spans="1:2" ht="30" customHeight="1" x14ac:dyDescent="0.45">
      <c r="B5" s="11" t="s">
        <v>3</v>
      </c>
    </row>
    <row r="6" spans="1:2" ht="30" customHeight="1" x14ac:dyDescent="0.45">
      <c r="B6" s="11" t="s">
        <v>4</v>
      </c>
    </row>
    <row r="7" spans="1:2" ht="30" customHeight="1" x14ac:dyDescent="0.45">
      <c r="B7" s="11" t="s">
        <v>5</v>
      </c>
    </row>
    <row r="9" spans="1:2" ht="16.05" customHeight="1" x14ac:dyDescent="0.45">
      <c r="A9" s="20" t="s">
        <v>6</v>
      </c>
      <c r="B9" s="21"/>
    </row>
    <row r="10" spans="1:2" ht="30" customHeight="1" x14ac:dyDescent="0.45">
      <c r="B10" s="11" t="s">
        <v>7</v>
      </c>
    </row>
    <row r="11" spans="1:2" ht="30" customHeight="1" x14ac:dyDescent="0.45">
      <c r="B11" s="11" t="s">
        <v>8</v>
      </c>
    </row>
    <row r="12" spans="1:2" ht="30" customHeight="1" x14ac:dyDescent="0.45">
      <c r="B12" s="12" t="s">
        <v>9</v>
      </c>
    </row>
    <row r="13" spans="1:2" ht="30" customHeight="1" x14ac:dyDescent="0.45">
      <c r="B13" s="13" t="s">
        <v>10</v>
      </c>
    </row>
    <row r="15" spans="1:2" ht="16.05" customHeight="1" x14ac:dyDescent="0.45">
      <c r="A15" s="20" t="s">
        <v>11</v>
      </c>
      <c r="B15" s="21"/>
    </row>
    <row r="16" spans="1:2" ht="30" customHeight="1" x14ac:dyDescent="0.45">
      <c r="B16" s="11" t="s">
        <v>12</v>
      </c>
    </row>
    <row r="17" spans="1:2" ht="75" customHeight="1" x14ac:dyDescent="0.45">
      <c r="B17" s="12" t="s">
        <v>13</v>
      </c>
    </row>
    <row r="18" spans="1:2" ht="30" customHeight="1" x14ac:dyDescent="0.45">
      <c r="B18" s="13" t="s">
        <v>14</v>
      </c>
    </row>
    <row r="20" spans="1:2" ht="16.05" customHeight="1" x14ac:dyDescent="0.45">
      <c r="A20" s="20" t="s">
        <v>15</v>
      </c>
      <c r="B20" s="21"/>
    </row>
    <row r="21" spans="1:2" x14ac:dyDescent="0.45">
      <c r="A21" s="14">
        <v>1</v>
      </c>
      <c r="B21" s="11" t="s">
        <v>16</v>
      </c>
    </row>
    <row r="22" spans="1:2" ht="30" customHeight="1" x14ac:dyDescent="0.45">
      <c r="B22" s="12" t="s">
        <v>17</v>
      </c>
    </row>
    <row r="23" spans="1:2" ht="30" customHeight="1" x14ac:dyDescent="0.45">
      <c r="B23" s="13" t="s">
        <v>18</v>
      </c>
    </row>
    <row r="25" spans="1:2" x14ac:dyDescent="0.45">
      <c r="A25" s="14">
        <v>2</v>
      </c>
      <c r="B25" s="11" t="s">
        <v>19</v>
      </c>
    </row>
    <row r="26" spans="1:2" ht="30" customHeight="1" x14ac:dyDescent="0.45">
      <c r="B26" s="12" t="s">
        <v>20</v>
      </c>
    </row>
    <row r="27" spans="1:2" ht="30" customHeight="1" x14ac:dyDescent="0.45">
      <c r="B27" s="13" t="s">
        <v>21</v>
      </c>
    </row>
    <row r="29" spans="1:2" x14ac:dyDescent="0.45">
      <c r="A29" s="14">
        <v>3</v>
      </c>
      <c r="B29" s="11" t="s">
        <v>22</v>
      </c>
    </row>
    <row r="30" spans="1:2" ht="45" customHeight="1" x14ac:dyDescent="0.45">
      <c r="B30" s="12" t="s">
        <v>23</v>
      </c>
    </row>
    <row r="31" spans="1:2" ht="30" customHeight="1" x14ac:dyDescent="0.45">
      <c r="B31" s="13" t="s">
        <v>24</v>
      </c>
    </row>
    <row r="33" spans="1:2" x14ac:dyDescent="0.45">
      <c r="A33" s="14">
        <v>4</v>
      </c>
      <c r="B33" s="11" t="s">
        <v>25</v>
      </c>
    </row>
    <row r="34" spans="1:2" ht="30" customHeight="1" x14ac:dyDescent="0.45">
      <c r="B34" s="12" t="s">
        <v>26</v>
      </c>
    </row>
    <row r="35" spans="1:2" ht="30" customHeight="1" x14ac:dyDescent="0.45">
      <c r="B35" s="13" t="s">
        <v>27</v>
      </c>
    </row>
    <row r="37" spans="1:2" x14ac:dyDescent="0.45">
      <c r="A37" s="14">
        <v>5</v>
      </c>
      <c r="B37" s="11" t="s">
        <v>28</v>
      </c>
    </row>
    <row r="38" spans="1:2" ht="30" customHeight="1" x14ac:dyDescent="0.45">
      <c r="B38" s="12" t="s">
        <v>29</v>
      </c>
    </row>
    <row r="39" spans="1:2" ht="30" customHeight="1" x14ac:dyDescent="0.45">
      <c r="B39" s="13" t="s">
        <v>30</v>
      </c>
    </row>
    <row r="41" spans="1:2" x14ac:dyDescent="0.45">
      <c r="A41" s="14">
        <v>6</v>
      </c>
      <c r="B41" s="11" t="s">
        <v>31</v>
      </c>
    </row>
    <row r="42" spans="1:2" ht="30" customHeight="1" x14ac:dyDescent="0.45">
      <c r="B42" s="12" t="s">
        <v>32</v>
      </c>
    </row>
    <row r="43" spans="1:2" ht="30" customHeight="1" x14ac:dyDescent="0.45">
      <c r="B43" s="13" t="s">
        <v>33</v>
      </c>
    </row>
    <row r="45" spans="1:2" ht="16.05" customHeight="1" x14ac:dyDescent="0.45">
      <c r="A45" s="20" t="s">
        <v>34</v>
      </c>
      <c r="B45" s="21"/>
    </row>
    <row r="46" spans="1:2" ht="18" customHeight="1" x14ac:dyDescent="0.45">
      <c r="B46" s="11" t="s">
        <v>35</v>
      </c>
    </row>
    <row r="47" spans="1:2" ht="18" customHeight="1" x14ac:dyDescent="0.45">
      <c r="B47" s="11" t="s">
        <v>36</v>
      </c>
    </row>
    <row r="48" spans="1:2" ht="18" customHeight="1" x14ac:dyDescent="0.45">
      <c r="B48" s="11" t="s">
        <v>37</v>
      </c>
    </row>
    <row r="50" spans="1:2" ht="16.05" customHeight="1" x14ac:dyDescent="0.45">
      <c r="A50" s="20" t="s">
        <v>38</v>
      </c>
      <c r="B50" s="21"/>
    </row>
    <row r="51" spans="1:2" x14ac:dyDescent="0.45">
      <c r="A51" s="15"/>
      <c r="B51" s="11" t="s">
        <v>39</v>
      </c>
    </row>
    <row r="52" spans="1:2" x14ac:dyDescent="0.45">
      <c r="A52" s="16"/>
      <c r="B52" s="11" t="s">
        <v>40</v>
      </c>
    </row>
    <row r="53" spans="1:2" ht="15.75" x14ac:dyDescent="0.5">
      <c r="A53" s="17"/>
      <c r="B53" s="11" t="s">
        <v>41</v>
      </c>
    </row>
    <row r="54" spans="1:2" x14ac:dyDescent="0.45">
      <c r="A54" s="12"/>
      <c r="B54" s="11" t="s">
        <v>42</v>
      </c>
    </row>
  </sheetData>
  <mergeCells count="8">
    <mergeCell ref="A1:B1"/>
    <mergeCell ref="A9:B9"/>
    <mergeCell ref="A50:B50"/>
    <mergeCell ref="A4:B4"/>
    <mergeCell ref="A20:B20"/>
    <mergeCell ref="A2:B2"/>
    <mergeCell ref="A15:B15"/>
    <mergeCell ref="A45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4F92"/>
  </sheetPr>
  <dimension ref="A1:G20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34" customWidth="1"/>
    <col min="2" max="6" width="13" customWidth="1"/>
    <col min="7" max="7" width="30" customWidth="1"/>
  </cols>
  <sheetData>
    <row r="1" spans="1:7" ht="26" customHeight="1" x14ac:dyDescent="0.45">
      <c r="A1" s="26" t="s">
        <v>43</v>
      </c>
      <c r="B1" s="23"/>
      <c r="C1" s="23"/>
      <c r="D1" s="23"/>
      <c r="E1" s="23"/>
      <c r="F1" s="23"/>
      <c r="G1" s="23"/>
    </row>
    <row r="2" spans="1:7" ht="18" customHeight="1" x14ac:dyDescent="0.45">
      <c r="A2" s="25" t="s">
        <v>44</v>
      </c>
      <c r="B2" s="23"/>
      <c r="C2" s="23"/>
      <c r="D2" s="23"/>
      <c r="E2" s="23"/>
      <c r="F2" s="23"/>
      <c r="G2" s="23"/>
    </row>
    <row r="4" spans="1:7" ht="16.05" customHeight="1" x14ac:dyDescent="0.45">
      <c r="A4" s="24" t="s">
        <v>45</v>
      </c>
      <c r="B4" s="23"/>
      <c r="C4" s="23"/>
      <c r="D4" s="23"/>
      <c r="E4" s="23"/>
      <c r="F4" s="23"/>
      <c r="G4" s="23"/>
    </row>
    <row r="5" spans="1:7" x14ac:dyDescent="0.45">
      <c r="A5" s="2" t="s">
        <v>46</v>
      </c>
      <c r="B5" s="3">
        <v>350</v>
      </c>
    </row>
    <row r="6" spans="1:7" ht="85.5" customHeight="1" x14ac:dyDescent="0.45">
      <c r="A6" s="2" t="s">
        <v>47</v>
      </c>
      <c r="B6" s="3">
        <v>420</v>
      </c>
      <c r="D6" s="1" t="s">
        <v>48</v>
      </c>
    </row>
    <row r="7" spans="1:7" ht="71.25" customHeight="1" x14ac:dyDescent="0.45">
      <c r="A7" s="2" t="s">
        <v>49</v>
      </c>
      <c r="B7" s="4">
        <v>0.06</v>
      </c>
      <c r="D7" s="1" t="s">
        <v>50</v>
      </c>
    </row>
    <row r="8" spans="1:7" ht="85.5" customHeight="1" x14ac:dyDescent="0.45">
      <c r="A8" s="2" t="s">
        <v>51</v>
      </c>
      <c r="B8" s="4">
        <v>0.38</v>
      </c>
      <c r="D8" s="1" t="s">
        <v>52</v>
      </c>
    </row>
    <row r="9" spans="1:7" x14ac:dyDescent="0.45">
      <c r="A9" s="2" t="s">
        <v>53</v>
      </c>
      <c r="B9" s="3">
        <v>180</v>
      </c>
    </row>
    <row r="10" spans="1:7" x14ac:dyDescent="0.45">
      <c r="A10" s="2" t="s">
        <v>54</v>
      </c>
      <c r="B10" s="4">
        <v>0.03</v>
      </c>
    </row>
    <row r="11" spans="1:7" x14ac:dyDescent="0.45">
      <c r="A11" s="2" t="s">
        <v>55</v>
      </c>
      <c r="B11" s="4">
        <v>0.1</v>
      </c>
    </row>
    <row r="13" spans="1:7" ht="16.05" customHeight="1" x14ac:dyDescent="0.45">
      <c r="A13" s="24" t="s">
        <v>56</v>
      </c>
      <c r="B13" s="23"/>
      <c r="C13" s="23"/>
      <c r="D13" s="23"/>
      <c r="E13" s="23"/>
      <c r="F13" s="23"/>
      <c r="G13" s="23"/>
    </row>
    <row r="14" spans="1:7" x14ac:dyDescent="0.45">
      <c r="A14" s="5"/>
      <c r="B14" s="6" t="s">
        <v>57</v>
      </c>
      <c r="C14" s="6" t="s">
        <v>58</v>
      </c>
      <c r="D14" s="6" t="s">
        <v>59</v>
      </c>
      <c r="E14" s="6" t="s">
        <v>60</v>
      </c>
      <c r="F14" s="6" t="s">
        <v>61</v>
      </c>
    </row>
    <row r="15" spans="1:7" x14ac:dyDescent="0.45">
      <c r="A15" s="2" t="s">
        <v>62</v>
      </c>
      <c r="B15" s="7">
        <f>B6</f>
        <v>420</v>
      </c>
      <c r="C15" s="7">
        <f>B15*(1+$B$7)</f>
        <v>445.20000000000005</v>
      </c>
      <c r="D15" s="7">
        <f>C15*(1+$B$7)</f>
        <v>471.91200000000009</v>
      </c>
      <c r="E15" s="7">
        <f>D15*(1+$B$7)</f>
        <v>500.22672000000011</v>
      </c>
      <c r="F15" s="7">
        <f>E15*(1+$B$7)</f>
        <v>530.24032320000015</v>
      </c>
    </row>
    <row r="16" spans="1:7" x14ac:dyDescent="0.45">
      <c r="A16" s="2" t="s">
        <v>63</v>
      </c>
      <c r="B16" s="7">
        <f>-B15*$B$8</f>
        <v>-159.6</v>
      </c>
      <c r="C16" s="7">
        <f>-C15*$B$8</f>
        <v>-169.17600000000002</v>
      </c>
      <c r="D16" s="7">
        <f>-D15*$B$8</f>
        <v>-179.32656000000003</v>
      </c>
      <c r="E16" s="7">
        <f>-E15*$B$8</f>
        <v>-190.08615360000005</v>
      </c>
      <c r="F16" s="7">
        <f>-F15*$B$8</f>
        <v>-201.49132281600006</v>
      </c>
    </row>
    <row r="17" spans="1:7" x14ac:dyDescent="0.45">
      <c r="A17" s="2" t="s">
        <v>64</v>
      </c>
      <c r="B17" s="7">
        <f>-$B$9</f>
        <v>-180</v>
      </c>
      <c r="C17" s="7">
        <f>B17*(1+$B$10)</f>
        <v>-185.4</v>
      </c>
      <c r="D17" s="7">
        <f>C17*(1+$B$10)</f>
        <v>-190.96200000000002</v>
      </c>
      <c r="E17" s="7">
        <f>D17*(1+$B$10)</f>
        <v>-196.69086000000001</v>
      </c>
      <c r="F17" s="7">
        <f>E17*(1+$B$10)</f>
        <v>-202.59158580000002</v>
      </c>
    </row>
    <row r="18" spans="1:7" x14ac:dyDescent="0.45">
      <c r="A18" s="8" t="s">
        <v>65</v>
      </c>
      <c r="B18" s="9">
        <f>SUM(B15:B17)</f>
        <v>80.399999999999977</v>
      </c>
      <c r="C18" s="9">
        <f>SUM(C15:C17)</f>
        <v>90.623999999999995</v>
      </c>
      <c r="D18" s="9">
        <f>SUM(D15:D17)</f>
        <v>101.62344000000004</v>
      </c>
      <c r="E18" s="9">
        <f>SUM(E15:E17)</f>
        <v>113.44970640000005</v>
      </c>
      <c r="F18" s="9">
        <f>SUM(F15:F17)</f>
        <v>126.15741458400004</v>
      </c>
    </row>
    <row r="20" spans="1:7" ht="30" customHeight="1" x14ac:dyDescent="0.5">
      <c r="A20" s="8" t="s">
        <v>66</v>
      </c>
      <c r="B20" s="10">
        <f>NPV($B$11,B18:F18)-$B$5</f>
        <v>30.159476205673911</v>
      </c>
      <c r="G20" s="1" t="s">
        <v>67</v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2026-07-05T09:12:19Z</dcterms:created>
  <dcterms:modified xsi:type="dcterms:W3CDTF">2026-07-05T18:09:24Z</dcterms:modified>
</cp:coreProperties>
</file>