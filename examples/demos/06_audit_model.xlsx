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imou\source\repos\modelrisk-mcp\examples\demos\"/>
    </mc:Choice>
  </mc:AlternateContent>
  <xr:revisionPtr revIDLastSave="0" documentId="13_ncr:1_{8C5353F9-FDD4-4F59-A30C-B158D6C862E6}" xr6:coauthVersionLast="47" xr6:coauthVersionMax="47" xr10:uidLastSave="{00000000-0000-0000-0000-000000000000}"/>
  <bookViews>
    <workbookView xWindow="-98" yWindow="-98" windowWidth="21795" windowHeight="12975" xr2:uid="{00000000-000D-0000-FFFF-FFFF00000000}"/>
  </bookViews>
  <sheets>
    <sheet name="README" sheetId="1" r:id="rId1"/>
    <sheet name="Model"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2" l="1"/>
  <c r="B8" i="2" s="1"/>
  <c r="C6" i="2"/>
  <c r="D6" i="2" s="1"/>
  <c r="C7" i="2" l="1"/>
  <c r="C8" i="2" s="1"/>
  <c r="B10" i="2" s="1"/>
  <c r="D7" i="2"/>
  <c r="D8" i="2" s="1"/>
</calcChain>
</file>

<file path=xl/sharedStrings.xml><?xml version="1.0" encoding="utf-8"?>
<sst xmlns="http://schemas.openxmlformats.org/spreadsheetml/2006/main" count="66" uniqueCount="66">
  <si>
    <t>Demo 06 — Audit an inherited model: find flaws, fix, undo</t>
  </si>
  <si>
    <t>Plant three flawed Vose formulas in an inherited capex model, let the audit catch them, then roll everything back.</t>
  </si>
  <si>
    <t>WHAT THIS DEMO SHOWS</t>
  </si>
  <si>
    <t>You inherit a colleague’s capex model riddled with buried constants. You deliberately add three broken Vose formulas, run the model audit to catch them (plus the buried constants), fix one finding, and then restore the workbook to its original clean state from the write journal.</t>
  </si>
  <si>
    <t>Every write the agent makes is journaled, so any change — good or bad — is reversible.</t>
  </si>
  <si>
    <t>Tools demonstrated: diagnose_workbook, write_formula, audit_model, restore_cell</t>
  </si>
  <si>
    <t>PREREQUISITES</t>
  </si>
  <si>
    <t>Windows Excel with the ModelRisk add-in installed and licensed.</t>
  </si>
  <si>
    <t>modelrisk-mcp connected to Claude (Claude Desktop / Claude Code).</t>
  </si>
  <si>
    <t>PROMPT →  Open C:/Users/timou/source/repos/modelrisk-mcp/examples/demos/06_audit_model.xlsx in Excel</t>
  </si>
  <si>
    <t>STEP-BY-STEP</t>
  </si>
  <si>
    <t>1</t>
  </si>
  <si>
    <t>Open the workbook in Excel (see prerequisites above).</t>
  </si>
  <si>
    <t>2</t>
  </si>
  <si>
    <t>Health check — make sure Excel and ModelRisk are reachable and get an overview of the model.</t>
  </si>
  <si>
    <t>PROMPT →  Diagnose this workbook — is Excel reachable, is ModelRisk live, what’s in the model?</t>
  </si>
  <si>
    <t>Expected: diagnose_workbook reports Excel + ModelRisk status and a summary of the Model sheet.</t>
  </si>
  <si>
    <t>3</t>
  </si>
  <si>
    <t>Plant the flaws (exercise) — write the three deliberately broken formulas shown on the Model sheet as live formulas.</t>
  </si>
  <si>
    <t>PROMPT →  Write the three formulas from Model!B13:B15 into F13, F14 and F15 as live formulas — yes, really.</t>
  </si>
  <si>
    <t>Expected: write_formula puts them in F13:F15; they evaluate to errors or odd values — that is intended.</t>
  </si>
  <si>
    <t>4</t>
  </si>
  <si>
    <t>Run the audit and read the findings.</t>
  </si>
  <si>
    <t>PROMPT →  Audit this model and explain each finding.</t>
  </si>
  <si>
    <t>Expected: audit_model flags the degenerate probability (1), the wrong arity (VoseNormal with one argument), the unnamed output, AND the hard-coded growth/margin/rate constants in the plan — each finding with a rule id and explanation.</t>
  </si>
  <si>
    <t>5</t>
  </si>
  <si>
    <t>Fix a finding — by hand or by asking Claude.</t>
  </si>
  <si>
    <t>PROMPT →  Fix finding 1 by making the probability 0.25 instead of 1.</t>
  </si>
  <si>
    <t>Expected: F13 becomes VoseRiskEvent(0.25, ...) and re-auditing no longer flags it.</t>
  </si>
  <si>
    <t>6</t>
  </si>
  <si>
    <t>Roll it all back — restore the workbook to its pre-step-3 state.</t>
  </si>
  <si>
    <t>PROMPT →  Restore F13, F14 and F15 to what they were before step 3.</t>
  </si>
  <si>
    <t>Expected: restore_cell puts each cell back to empty — the audit log holds every write, so the workbook can always get back to clean.</t>
  </si>
  <si>
    <t>WHAT TO LOOK FOR</t>
  </si>
  <si>
    <t>• The audit runs 17 editable rules covering both methodology (degenerate probabilities, missing parameters, unnamed outputs) and spreadsheet integrity (hard-coded constants inside formulas).</t>
  </si>
  <si>
    <t>• Every agent write is journaled and reversible — even a deliberately bad edit can be undone with one prompt.</t>
  </si>
  <si>
    <t>• Auditing an inherited model before trusting it is the single cheapest risk-management step you can take.</t>
  </si>
  <si>
    <t>COLOUR LEGEND</t>
  </si>
  <si>
    <t>Light blue + blue text: an input you can change</t>
  </si>
  <si>
    <t>Pale yellow: where Claude will write Vose formulas / results land</t>
  </si>
  <si>
    <t>Green bold: the key decision metric</t>
  </si>
  <si>
    <t>Grey italic: a prompt to type to Claude</t>
  </si>
  <si>
    <t>Inherited capex model ($k)</t>
  </si>
  <si>
    <t>A colleague’s plan with constants buried inside formulas — audit fodder.</t>
  </si>
  <si>
    <t>PLAN</t>
  </si>
  <si>
    <t>2027</t>
  </si>
  <si>
    <t>2028</t>
  </si>
  <si>
    <t>2029</t>
  </si>
  <si>
    <t>Revenue</t>
  </si>
  <si>
    <t>growth hard-coded INSIDE the formula — an audit smell</t>
  </si>
  <si>
    <t>Costs</t>
  </si>
  <si>
    <t>margin hard-coded</t>
  </si>
  <si>
    <t>Cash flow</t>
  </si>
  <si>
    <t>NPV @ 9%</t>
  </si>
  <si>
    <t>discount rate hard-coded in the formula</t>
  </si>
  <si>
    <t>FLAWED FORMULAS (step 3 asks Claude to write these — as an exercise)</t>
  </si>
  <si>
    <t>Flaw 1 — certain risk event</t>
  </si>
  <si>
    <t>VoseRiskEvent(1,VosePERT(100,200,400))</t>
  </si>
  <si>
    <t>probability 1 = not a risk</t>
  </si>
  <si>
    <t>Flaw 2 — missing parameter</t>
  </si>
  <si>
    <t>VoseNormal(500)</t>
  </si>
  <si>
    <t>sigma missing</t>
  </si>
  <si>
    <t>Flaw 3 — unnamed output</t>
  </si>
  <si>
    <t>VoseOutput()+B10</t>
  </si>
  <si>
    <t>output with no name</t>
  </si>
  <si>
    <t>F13:F15 above (pale yellow) = where Claude writes the live flawed formulas in step 3, then restores them in step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</si>
</sst>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b/>
      <sz val="14"/>
      <color rgb="FFFFFFFF"/>
      <name val="Calibri"/>
    </font>
    <font>
      <i/>
      <sz val="11"/>
      <color rgb="FF808080"/>
      <name val="Calibri"/>
    </font>
    <font>
      <b/>
      <sz val="11"/>
      <color rgb="FFFFFFFF"/>
      <name val="Calibri"/>
    </font>
    <font>
      <sz val="11"/>
      <color rgb="FF000000"/>
      <name val="Calibri"/>
    </font>
    <font>
      <i/>
      <sz val="11"/>
      <color rgb="FF1F3864"/>
      <name val="Calibri"/>
    </font>
    <font>
      <b/>
      <sz val="11"/>
      <color rgb="FF000000"/>
      <name val="Calibri"/>
    </font>
    <font>
      <sz val="11"/>
      <color rgb="FF0000FF"/>
      <name val="Calibri"/>
    </font>
    <font>
      <b/>
      <sz val="12"/>
      <color rgb="FF000000"/>
      <name val="Calibri"/>
    </font>
    <font>
      <sz val="11"/>
      <color rgb="FF1F3864"/>
      <name val="Calibri"/>
    </font>
  </fonts>
  <fills count="8">
    <fill>
      <patternFill patternType="none"/>
    </fill>
    <fill>
      <patternFill patternType="gray125"/>
    </fill>
    <fill>
      <patternFill patternType="solid">
        <fgColor rgb="FF0E4F92"/>
      </patternFill>
    </fill>
    <fill>
      <patternFill patternType="solid">
        <fgColor rgb="FF1F3864"/>
      </patternFill>
    </fill>
    <fill>
      <patternFill patternType="solid">
        <fgColor rgb="FFF2F2F2"/>
      </patternFill>
    </fill>
    <fill>
      <patternFill patternType="solid">
        <fgColor rgb="FFECF4FC"/>
      </patternFill>
    </fill>
    <fill>
      <patternFill patternType="solid">
        <fgColor rgb="FFFFF8E1"/>
      </patternFill>
    </fill>
    <fill>
      <patternFill patternType="solid">
        <fgColor rgb="FFC6EFCE"/>
      </patternFill>
    </fill>
  </fills>
  <borders count="1">
    <border>
      <left/>
      <right/>
      <top/>
      <bottom/>
      <diagonal/>
    </border>
  </borders>
  <cellStyleXfs count="1">
    <xf numFmtId="0" fontId="0" fillId="0" borderId="0"/>
  </cellStyleXfs>
  <cellXfs count="23">
    <xf numFmtId="0" fontId="0" fillId="0" borderId="0" xfId="0"/>
    <xf numFmtId="0" fontId="4" fillId="0" borderId="0" xfId="0" applyFont="1" applyAlignment="1">
      <alignment vertical="top" wrapText="1"/>
    </xf>
    <xf numFmtId="0" fontId="5" fillId="4" borderId="0" xfId="0" applyFont="1" applyFill="1" applyAlignment="1">
      <alignment vertical="top" wrapText="1"/>
    </xf>
    <xf numFmtId="0" fontId="6" fillId="0" borderId="0" xfId="0" applyFont="1" applyAlignment="1">
      <alignment vertical="top"/>
    </xf>
    <xf numFmtId="0" fontId="2" fillId="0" borderId="0" xfId="0" applyFont="1" applyAlignment="1">
      <alignment vertical="top" wrapText="1"/>
    </xf>
    <xf numFmtId="0" fontId="7" fillId="5" borderId="0" xfId="0" applyFont="1" applyFill="1"/>
    <xf numFmtId="0" fontId="0" fillId="6" borderId="0" xfId="0" applyFill="1"/>
    <xf numFmtId="0" fontId="8" fillId="7" borderId="0" xfId="0" applyFont="1" applyFill="1"/>
    <xf numFmtId="0" fontId="0" fillId="4" borderId="0" xfId="0" applyFill="1"/>
    <xf numFmtId="0" fontId="6" fillId="4" borderId="0" xfId="0" applyFont="1" applyFill="1" applyAlignment="1">
      <alignment horizontal="right"/>
    </xf>
    <xf numFmtId="0" fontId="4" fillId="0" borderId="0" xfId="0" applyFont="1"/>
    <xf numFmtId="3" fontId="7" fillId="5" borderId="0" xfId="0" applyNumberFormat="1" applyFont="1" applyFill="1"/>
    <xf numFmtId="3" fontId="0" fillId="0" borderId="0" xfId="0" applyNumberFormat="1"/>
    <xf numFmtId="164" fontId="0" fillId="0" borderId="0" xfId="0" applyNumberFormat="1"/>
    <xf numFmtId="0" fontId="6" fillId="0" borderId="0" xfId="0" applyFont="1"/>
    <xf numFmtId="3" fontId="8" fillId="7" borderId="0" xfId="0" applyNumberFormat="1" applyFont="1" applyFill="1"/>
    <xf numFmtId="0" fontId="9" fillId="0" borderId="0" xfId="0" applyFont="1"/>
    <xf numFmtId="0" fontId="3" fillId="3" borderId="0" xfId="0" applyFont="1" applyFill="1"/>
    <xf numFmtId="0" fontId="0" fillId="3" borderId="0" xfId="0" applyFill="1"/>
    <xf numFmtId="0" fontId="2" fillId="0" borderId="0" xfId="0" applyFont="1"/>
    <xf numFmtId="0" fontId="0" fillId="0" borderId="0" xfId="0"/>
    <xf numFmtId="0" fontId="1" fillId="2" borderId="0" xfId="0" applyFont="1" applyFill="1" applyAlignment="1">
      <alignment horizontal="left" vertical="center"/>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E4F92"/>
  </sheetPr>
  <dimension ref="A1:B46"/>
  <sheetViews>
    <sheetView showGridLines="0" tabSelected="1" workbookViewId="0">
      <pane ySplit="3" topLeftCell="A4" activePane="bottomLeft" state="frozen"/>
      <selection pane="bottomLeft" sqref="A1:B1"/>
    </sheetView>
  </sheetViews>
  <sheetFormatPr defaultRowHeight="14.25" x14ac:dyDescent="0.45"/>
  <cols>
    <col min="1" max="1" width="6" customWidth="1"/>
    <col min="2" max="2" width="110" customWidth="1"/>
  </cols>
  <sheetData>
    <row r="1" spans="1:2" ht="26" customHeight="1" x14ac:dyDescent="0.45">
      <c r="A1" s="21" t="s">
        <v>0</v>
      </c>
      <c r="B1" s="22"/>
    </row>
    <row r="2" spans="1:2" ht="18" customHeight="1" x14ac:dyDescent="0.45">
      <c r="A2" s="19" t="s">
        <v>1</v>
      </c>
      <c r="B2" s="20"/>
    </row>
    <row r="4" spans="1:2" ht="16.05" customHeight="1" x14ac:dyDescent="0.45">
      <c r="A4" s="17" t="s">
        <v>2</v>
      </c>
      <c r="B4" s="18"/>
    </row>
    <row r="5" spans="1:2" ht="45" customHeight="1" x14ac:dyDescent="0.45">
      <c r="B5" s="1" t="s">
        <v>3</v>
      </c>
    </row>
    <row r="6" spans="1:2" ht="18" customHeight="1" x14ac:dyDescent="0.45">
      <c r="B6" s="1" t="s">
        <v>4</v>
      </c>
    </row>
    <row r="7" spans="1:2" x14ac:dyDescent="0.45">
      <c r="B7" s="1" t="s">
        <v>5</v>
      </c>
    </row>
    <row r="9" spans="1:2" ht="16.05" customHeight="1" x14ac:dyDescent="0.45">
      <c r="A9" s="17" t="s">
        <v>6</v>
      </c>
      <c r="B9" s="18"/>
    </row>
    <row r="10" spans="1:2" x14ac:dyDescent="0.45">
      <c r="B10" s="1" t="s">
        <v>7</v>
      </c>
    </row>
    <row r="11" spans="1:2" x14ac:dyDescent="0.45">
      <c r="B11" s="1" t="s">
        <v>8</v>
      </c>
    </row>
    <row r="12" spans="1:2" ht="30" customHeight="1" x14ac:dyDescent="0.45">
      <c r="B12" s="2" t="s">
        <v>9</v>
      </c>
    </row>
    <row r="14" spans="1:2" ht="16.05" customHeight="1" x14ac:dyDescent="0.45">
      <c r="A14" s="17" t="s">
        <v>10</v>
      </c>
      <c r="B14" s="18"/>
    </row>
    <row r="15" spans="1:2" ht="30" customHeight="1" x14ac:dyDescent="0.45">
      <c r="A15" s="3" t="s">
        <v>11</v>
      </c>
      <c r="B15" s="1" t="s">
        <v>12</v>
      </c>
    </row>
    <row r="17" spans="1:2" ht="30" customHeight="1" x14ac:dyDescent="0.45">
      <c r="A17" s="3" t="s">
        <v>13</v>
      </c>
      <c r="B17" s="1" t="s">
        <v>14</v>
      </c>
    </row>
    <row r="18" spans="1:2" ht="30" customHeight="1" x14ac:dyDescent="0.45">
      <c r="B18" s="2" t="s">
        <v>15</v>
      </c>
    </row>
    <row r="19" spans="1:2" ht="40.049999999999997" customHeight="1" x14ac:dyDescent="0.45">
      <c r="B19" s="4" t="s">
        <v>16</v>
      </c>
    </row>
    <row r="21" spans="1:2" ht="30" customHeight="1" x14ac:dyDescent="0.45">
      <c r="A21" s="3" t="s">
        <v>17</v>
      </c>
      <c r="B21" s="1" t="s">
        <v>18</v>
      </c>
    </row>
    <row r="22" spans="1:2" ht="30" customHeight="1" x14ac:dyDescent="0.45">
      <c r="B22" s="2" t="s">
        <v>19</v>
      </c>
    </row>
    <row r="23" spans="1:2" ht="40.049999999999997" customHeight="1" x14ac:dyDescent="0.45">
      <c r="B23" s="4" t="s">
        <v>20</v>
      </c>
    </row>
    <row r="25" spans="1:2" ht="30" customHeight="1" x14ac:dyDescent="0.45">
      <c r="A25" s="3" t="s">
        <v>21</v>
      </c>
      <c r="B25" s="1" t="s">
        <v>22</v>
      </c>
    </row>
    <row r="26" spans="1:2" ht="30" customHeight="1" x14ac:dyDescent="0.45">
      <c r="B26" s="2" t="s">
        <v>23</v>
      </c>
    </row>
    <row r="27" spans="1:2" ht="40.049999999999997" customHeight="1" x14ac:dyDescent="0.45">
      <c r="B27" s="4" t="s">
        <v>24</v>
      </c>
    </row>
    <row r="29" spans="1:2" ht="30" customHeight="1" x14ac:dyDescent="0.45">
      <c r="A29" s="3" t="s">
        <v>25</v>
      </c>
      <c r="B29" s="1" t="s">
        <v>26</v>
      </c>
    </row>
    <row r="30" spans="1:2" ht="30" customHeight="1" x14ac:dyDescent="0.45">
      <c r="B30" s="2" t="s">
        <v>27</v>
      </c>
    </row>
    <row r="31" spans="1:2" ht="40.049999999999997" customHeight="1" x14ac:dyDescent="0.45">
      <c r="B31" s="4" t="s">
        <v>28</v>
      </c>
    </row>
    <row r="33" spans="1:2" ht="30" customHeight="1" x14ac:dyDescent="0.45">
      <c r="A33" s="3" t="s">
        <v>29</v>
      </c>
      <c r="B33" s="1" t="s">
        <v>30</v>
      </c>
    </row>
    <row r="34" spans="1:2" ht="30" customHeight="1" x14ac:dyDescent="0.45">
      <c r="B34" s="2" t="s">
        <v>31</v>
      </c>
    </row>
    <row r="35" spans="1:2" ht="40.049999999999997" customHeight="1" x14ac:dyDescent="0.45">
      <c r="B35" s="4" t="s">
        <v>32</v>
      </c>
    </row>
    <row r="37" spans="1:2" ht="16.05" customHeight="1" x14ac:dyDescent="0.45">
      <c r="A37" s="17" t="s">
        <v>33</v>
      </c>
      <c r="B37" s="18"/>
    </row>
    <row r="38" spans="1:2" ht="30" customHeight="1" x14ac:dyDescent="0.45">
      <c r="B38" s="4" t="s">
        <v>34</v>
      </c>
    </row>
    <row r="39" spans="1:2" ht="30" customHeight="1" x14ac:dyDescent="0.45">
      <c r="B39" s="4" t="s">
        <v>35</v>
      </c>
    </row>
    <row r="40" spans="1:2" ht="30" customHeight="1" x14ac:dyDescent="0.45">
      <c r="B40" s="4" t="s">
        <v>36</v>
      </c>
    </row>
    <row r="42" spans="1:2" ht="16.05" customHeight="1" x14ac:dyDescent="0.45">
      <c r="A42" s="17" t="s">
        <v>37</v>
      </c>
      <c r="B42" s="18"/>
    </row>
    <row r="43" spans="1:2" x14ac:dyDescent="0.45">
      <c r="A43" s="5"/>
      <c r="B43" s="1" t="s">
        <v>38</v>
      </c>
    </row>
    <row r="44" spans="1:2" x14ac:dyDescent="0.45">
      <c r="A44" s="6"/>
      <c r="B44" s="1" t="s">
        <v>39</v>
      </c>
    </row>
    <row r="45" spans="1:2" ht="15.75" x14ac:dyDescent="0.5">
      <c r="A45" s="7"/>
      <c r="B45" s="1" t="s">
        <v>40</v>
      </c>
    </row>
    <row r="46" spans="1:2" x14ac:dyDescent="0.45">
      <c r="A46" s="2"/>
      <c r="B46" s="1" t="s">
        <v>41</v>
      </c>
    </row>
  </sheetData>
  <mergeCells count="7">
    <mergeCell ref="A1:B1"/>
    <mergeCell ref="A9:B9"/>
    <mergeCell ref="A4:B4"/>
    <mergeCell ref="A2:B2"/>
    <mergeCell ref="A42:B42"/>
    <mergeCell ref="A37:B37"/>
    <mergeCell ref="A14:B1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E4F92"/>
  </sheetPr>
  <dimension ref="A1:H16"/>
  <sheetViews>
    <sheetView showGridLines="0" workbookViewId="0">
      <pane ySplit="5" topLeftCell="A6" activePane="bottomLeft" state="frozen"/>
      <selection pane="bottomLeft"/>
    </sheetView>
  </sheetViews>
  <sheetFormatPr defaultRowHeight="14.25" x14ac:dyDescent="0.45"/>
  <cols>
    <col min="1" max="2" width="34" customWidth="1"/>
    <col min="3" max="3" width="13" customWidth="1"/>
    <col min="4" max="4" width="26" customWidth="1"/>
    <col min="5" max="5" width="30" customWidth="1"/>
    <col min="6" max="6" width="16" customWidth="1"/>
    <col min="7" max="8" width="13" customWidth="1"/>
  </cols>
  <sheetData>
    <row r="1" spans="1:8" ht="26" customHeight="1" x14ac:dyDescent="0.45">
      <c r="A1" s="21" t="s">
        <v>42</v>
      </c>
      <c r="B1" s="22"/>
      <c r="C1" s="22"/>
      <c r="D1" s="22"/>
      <c r="E1" s="22"/>
      <c r="F1" s="22"/>
      <c r="G1" s="22"/>
      <c r="H1" s="22"/>
    </row>
    <row r="2" spans="1:8" ht="18" customHeight="1" x14ac:dyDescent="0.45">
      <c r="A2" s="19" t="s">
        <v>43</v>
      </c>
      <c r="B2" s="20"/>
      <c r="C2" s="20"/>
      <c r="D2" s="20"/>
      <c r="E2" s="20"/>
      <c r="F2" s="20"/>
      <c r="G2" s="20"/>
      <c r="H2" s="20"/>
    </row>
    <row r="4" spans="1:8" ht="16.05" customHeight="1" x14ac:dyDescent="0.45">
      <c r="A4" s="17" t="s">
        <v>44</v>
      </c>
      <c r="B4" s="18"/>
      <c r="C4" s="18"/>
      <c r="D4" s="18"/>
      <c r="E4" s="18"/>
      <c r="F4" s="18"/>
      <c r="G4" s="18"/>
      <c r="H4" s="18"/>
    </row>
    <row r="5" spans="1:8" x14ac:dyDescent="0.45">
      <c r="A5" s="8"/>
      <c r="B5" s="9" t="s">
        <v>45</v>
      </c>
      <c r="C5" s="9" t="s">
        <v>46</v>
      </c>
      <c r="D5" s="9" t="s">
        <v>47</v>
      </c>
    </row>
    <row r="6" spans="1:8" ht="28.5" x14ac:dyDescent="0.45">
      <c r="A6" s="10" t="s">
        <v>48</v>
      </c>
      <c r="B6" s="11">
        <v>1200</v>
      </c>
      <c r="C6" s="12">
        <f>B6*1.07</f>
        <v>1284</v>
      </c>
      <c r="D6" s="12">
        <f>C6*1.07</f>
        <v>1373.88</v>
      </c>
      <c r="E6" s="4" t="s">
        <v>49</v>
      </c>
    </row>
    <row r="7" spans="1:8" x14ac:dyDescent="0.45">
      <c r="A7" s="10" t="s">
        <v>50</v>
      </c>
      <c r="B7" s="13">
        <f>-B6*0.62</f>
        <v>-744</v>
      </c>
      <c r="C7" s="13">
        <f>-C6*0.62</f>
        <v>-796.08</v>
      </c>
      <c r="D7" s="13">
        <f>-D6*0.62</f>
        <v>-851.80560000000003</v>
      </c>
      <c r="E7" s="4" t="s">
        <v>51</v>
      </c>
    </row>
    <row r="8" spans="1:8" x14ac:dyDescent="0.45">
      <c r="A8" s="10" t="s">
        <v>52</v>
      </c>
      <c r="B8" s="13">
        <f>SUM(B6:B7)</f>
        <v>456</v>
      </c>
      <c r="C8" s="13">
        <f>SUM(C6:C7)</f>
        <v>487.91999999999996</v>
      </c>
      <c r="D8" s="13">
        <f>SUM(D6:D7)</f>
        <v>522.07440000000008</v>
      </c>
    </row>
    <row r="10" spans="1:8" ht="28.5" x14ac:dyDescent="0.5">
      <c r="A10" s="14" t="s">
        <v>53</v>
      </c>
      <c r="B10" s="15">
        <f>NPV(0.09,B8:D8)</f>
        <v>1232.1583532106229</v>
      </c>
      <c r="E10" s="4" t="s">
        <v>54</v>
      </c>
    </row>
    <row r="12" spans="1:8" ht="16.05" customHeight="1" x14ac:dyDescent="0.45">
      <c r="A12" s="17" t="s">
        <v>55</v>
      </c>
      <c r="B12" s="18"/>
      <c r="C12" s="18"/>
      <c r="D12" s="18"/>
      <c r="E12" s="18"/>
      <c r="F12" s="18"/>
      <c r="G12" s="18"/>
      <c r="H12" s="18"/>
    </row>
    <row r="13" spans="1:8" x14ac:dyDescent="0.45">
      <c r="A13" s="10" t="s">
        <v>56</v>
      </c>
      <c r="B13" s="16" t="s">
        <v>57</v>
      </c>
      <c r="D13" s="4" t="s">
        <v>58</v>
      </c>
      <c r="F13" s="6"/>
    </row>
    <row r="14" spans="1:8" x14ac:dyDescent="0.45">
      <c r="A14" s="10" t="s">
        <v>59</v>
      </c>
      <c r="B14" s="16" t="s">
        <v>60</v>
      </c>
      <c r="D14" s="4" t="s">
        <v>61</v>
      </c>
      <c r="F14" s="6"/>
    </row>
    <row r="15" spans="1:8" x14ac:dyDescent="0.45">
      <c r="A15" s="10" t="s">
        <v>62</v>
      </c>
      <c r="B15" s="16" t="s">
        <v>63</v>
      </c>
      <c r="D15" s="4" t="s">
        <v>64</v>
      </c>
      <c r="F15" s="6"/>
    </row>
    <row r="16" spans="1:8" ht="114" x14ac:dyDescent="0.45">
      <c r="F16" s="4" t="s">
        <v>65</v>
      </c>
    </row>
  </sheetData>
  <mergeCells count="4">
    <mergeCell ref="A12:H12"/>
    <mergeCell ref="A4:H4"/>
    <mergeCell ref="A2:H2"/>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Timour Koupeev</cp:lastModifiedBy>
  <dcterms:created xsi:type="dcterms:W3CDTF">2026-07-05T09:13:26Z</dcterms:created>
  <dcterms:modified xsi:type="dcterms:W3CDTF">2026-07-05T09:20:28Z</dcterms:modified>
</cp:coreProperties>
</file>