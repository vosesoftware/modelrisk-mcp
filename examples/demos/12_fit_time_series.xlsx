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imou\source\repos\modelrisk-mcp\examples\demos\"/>
    </mc:Choice>
  </mc:AlternateContent>
  <xr:revisionPtr revIDLastSave="0" documentId="13_ncr:1_{DB4EF953-5D1F-4EC1-A8D8-8F216E8219E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Data" sheetId="2" r:id="rId2"/>
    <sheet name="Mode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</calcChain>
</file>

<file path=xl/sharedStrings.xml><?xml version="1.0" encoding="utf-8"?>
<sst xmlns="http://schemas.openxmlformats.org/spreadsheetml/2006/main" count="127" uniqueCount="127">
  <si>
    <t>Demo 12 — Fit a time series: dynamics from history, projection with uncertainty</t>
  </si>
  <si>
    <t>A CFO has 60 months of revenue history and wants next year projected with honest uncertainty.</t>
  </si>
  <si>
    <t>WHAT THIS DEMO SHOWS</t>
  </si>
  <si>
    <t>A CFO has 5 years of monthly revenue and wants the next 12 months projected — with the DYNAMICS (random walk? mean reversion? volatility clustering?) chosen by evidence, not assumption.</t>
  </si>
  <si>
    <t>Claude fits and ranks time-series model families against the history, writes the winning model as a live 12-month connected projection, simulates it, and re-reads saved results without re-running.</t>
  </si>
  <si>
    <t>Tools demonstrated: fit_time_series, run_simulation, get_simulation_results, read_vmrs, set_active_vmrs</t>
  </si>
  <si>
    <t>GETTING STARTED</t>
  </si>
  <si>
    <t>You need: Windows Excel with the ModelRisk add-in installed and licensed, and modelrisk-mcp connected to Claude (Claude Desktop or Claude Code).</t>
  </si>
  <si>
    <t>Save the demo gallery folder anywhere on your PC. Once per session, tell Claude where it is and which demo to open:</t>
  </si>
  <si>
    <t>PROMPT →  My ModelRisk demo gallery is in &lt;your folder, e.g. Documents\modelrisk-demos&gt;. Open 12_fit_time_series.xlsx from there.</t>
  </si>
  <si>
    <t>Claude remembers the folder for the rest of the session — later demos just need "Open &lt;file&gt; from the demo folder".</t>
  </si>
  <si>
    <t>FAST TRACK — ONE PROMPT DOES IT ALL</t>
  </si>
  <si>
    <t>In a hurry? This single prompt runs the whole demo end-to-end. Prefer to learn how it works? Skip to the numbered steps below — same result, one capability at a time.</t>
  </si>
  <si>
    <t>PROMPT →  Open 12_fit_time_series.xlsx from the demo folder. Fit time-series models to the revenue history in 'Data'!B5:B64 and rank them by information criteria — tell me whether this series is a random walk, mean-reverting, autoregressive, or volatility-clustered. Then write the best model's 12-month projection into Model!B6:M6 for real, wrap Model!B9 as output "Month12Revenue", run 5,000 iterations, and give me the P10/P50/P90 of month-12 revenue plus the chance it falls below today's 8,400.</t>
  </si>
  <si>
    <t>Expected: an AIC/SIC-ranked family table, a live 12-cell projection array in the Model sheet, and P10/P50/P90 plus a below-8,400 probability from 5,000 iterations.</t>
  </si>
  <si>
    <t>STEP-BY-STEP</t>
  </si>
  <si>
    <t>Open the workbook.</t>
  </si>
  <si>
    <t>PROMPT →  Open 12_fit_time_series.xlsx from the demo folder.</t>
  </si>
  <si>
    <t>Expected: The workbook opens in Excel with Data and Model sheets ready.</t>
  </si>
  <si>
    <t>Which dynamics fit? Let the evidence pick the family.</t>
  </si>
  <si>
    <t>PROMPT →  Fit time-series models to the revenue history in 'Data'!B5:B64 and rank them — is this a random walk, mean-reverting, autoregressive, or volatility-clustered series?</t>
  </si>
  <si>
    <t>Expected: an AIC/SIC-ranked table across GBM/AR/MA/ARMA/GARCH families, plus honestly-skipped families; fit_time_series ranking, nothing written to the workbook.</t>
  </si>
  <si>
    <t>Project next year with the winning model.</t>
  </si>
  <si>
    <t>PROMPT →  Write the best model's 12-month projection into Model!B6:M6 — for real.</t>
  </si>
  <si>
    <t>Expected: a CSE array formula VoseTime&lt;Family&gt;Fit(...) across the 12 cells; a live connected path appears.</t>
  </si>
  <si>
    <t>Simulate the fan of outcomes.</t>
  </si>
  <si>
    <t>PROMPT →  Wrap Model!B9 as output "Month12Revenue" and run 5,000 iterations — give me the P10/P50/P90 of month-12 revenue.</t>
  </si>
  <si>
    <t>Expected: simulation runs; percentiles of month-12 revenue reported.</t>
  </si>
  <si>
    <t>Come back later — read saved results without re-running.</t>
  </si>
  <si>
    <t>PROMPT →  Read the saved results file next to this workbook directly and give me the Month12Revenue percentiles again.</t>
  </si>
  <si>
    <t>Expected: same numbers, read straight from the .vmrs; read_vmrs / set_active_vmrs.</t>
  </si>
  <si>
    <t>Interrogate the result.</t>
  </si>
  <si>
    <t>PROMPT →  What is the chance month-12 revenue is below today's 8,400?</t>
  </si>
  <si>
    <t>Expected: a probability computed from the stored simulation samples.</t>
  </si>
  <si>
    <t>WHAT TO LOOK FOR</t>
  </si>
  <si>
    <t>• the family is chosen by evidence (information criteria), not habit</t>
  </si>
  <si>
    <t>• a time-series projection is ONE path with month-to-month dynamics — the fan widens with horizon</t>
  </si>
  <si>
    <t>• results persist in the .vmrs — no need to re-simulate to re-read</t>
  </si>
  <si>
    <t>COLOUR LEGEND</t>
  </si>
  <si>
    <t>Input cell — blue text on light blue: values you may change</t>
  </si>
  <si>
    <t>Vose-target cell — pale yellow: Claude writes ModelRisk formulas here</t>
  </si>
  <si>
    <t>Key metric — green: the headline result</t>
  </si>
  <si>
    <t>Prompt cell — grey italic: copy-paste these into Claude</t>
  </si>
  <si>
    <t>Monthly revenue — 5 years ($k)</t>
  </si>
  <si>
    <t>60 months of observed revenue; the raw material for the time-series fit.</t>
  </si>
  <si>
    <t>Month</t>
  </si>
  <si>
    <t>Revenue ($k)</t>
  </si>
  <si>
    <t>1</t>
  </si>
  <si>
    <t>Source: synthetic demo data, seed=13, generated 2026-07-05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</si>
  <si>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</si>
  <si>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</si>
  <si>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</si>
  <si>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</si>
  <si>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</si>
  <si>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</si>
  <si>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</si>
  <si>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</si>
  <si>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</si>
  <si>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</si>
  <si>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</si>
  <si>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</si>
  <si>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</si>
  <si>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</si>
  <si>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</si>
  <si>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</si>
  <si>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</si>
  <si>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</si>
  <si>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</si>
  <si>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</si>
  <si>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</si>
  <si>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</si>
  <si>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</si>
  <si>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</si>
  <si>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</si>
  <si>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</si>
  <si>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</si>
  <si>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</si>
  <si>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</si>
  <si>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</si>
  <si>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</si>
  <si>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</si>
  <si>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</si>
  <si>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</si>
  <si>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</si>
  <si>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</si>
  <si>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</si>
  <si>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</si>
  <si>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</si>
  <si>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</si>
  <si>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</si>
  <si>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</si>
  <si>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</si>
  <si>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</si>
  <si>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</si>
  <si>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</si>
  <si>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</si>
  <si>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</si>
  <si>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</si>
  <si>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</si>
  <si>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</si>
  <si>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</si>
  <si>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</si>
  <si>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</si>
  <si>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</si>
  <si>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</si>
  <si>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</si>
  <si>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</si>
  <si>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</si>
  <si>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Next-12-months projection ($k)</t>
  </si>
  <si>
    <t>One connected simulated path — the best-fit dynamics carried month to month.</t>
  </si>
  <si>
    <t>PROJECTION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</si>
  <si>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</si>
  <si>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</si>
  <si>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</si>
  <si>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</si>
  <si>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</si>
  <si>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</si>
  <si>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</si>
  <si>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</si>
  <si>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</si>
  <si>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</si>
  <si>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</si>
  <si>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</si>
  <si>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Projected revenue ($k)</t>
  </si>
  <si>
    <t>Claude CSE-enters the best-fit VoseTime&lt;Family&gt;Fit array here — one connected path, dynamics carried month to month</t>
  </si>
  <si>
    <t>Month-12 revenue ($k)</t>
  </si>
  <si>
    <t>wrap as VoseOutput("Month12Revenue")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</si>
</sst>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808080"/>
      <name val="Calibri"/>
    </font>
    <font>
      <b/>
      <sz val="11"/>
      <color rgb="FFFFFFFF"/>
      <name val="Calibri"/>
    </font>
    <font>
      <sz val="11"/>
      <color rgb="FF000000"/>
      <name val="Calibri"/>
    </font>
    <font>
      <i/>
      <sz val="11"/>
      <color rgb="FF1F3864"/>
      <name val="Calibri"/>
    </font>
    <font>
      <b/>
      <sz val="11"/>
      <color rgb="FF000000"/>
      <name val="Calibri"/>
    </font>
    <font>
      <sz val="11"/>
      <color rgb="FF0000FF"/>
      <name val="Calibri"/>
    </font>
    <font>
      <b/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4F92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CF4FC"/>
      </patternFill>
    </fill>
    <fill>
      <patternFill patternType="solid">
        <fgColor rgb="FFFFF8E1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7" fillId="5" borderId="0" xfId="0" applyFont="1" applyFill="1"/>
    <xf numFmtId="0" fontId="0" fillId="6" borderId="0" xfId="0" applyFill="1"/>
    <xf numFmtId="0" fontId="8" fillId="7" borderId="0" xfId="0" applyFont="1" applyFill="1"/>
    <xf numFmtId="0" fontId="6" fillId="4" borderId="0" xfId="0" applyFont="1" applyFill="1"/>
    <xf numFmtId="164" fontId="0" fillId="0" borderId="0" xfId="0" applyNumberFormat="1"/>
    <xf numFmtId="0" fontId="6" fillId="4" borderId="0" xfId="0" applyFont="1" applyFill="1" applyAlignment="1">
      <alignment horizontal="center"/>
    </xf>
    <xf numFmtId="3" fontId="0" fillId="6" borderId="0" xfId="0" applyNumberFormat="1" applyFill="1"/>
    <xf numFmtId="3" fontId="8" fillId="7" borderId="0" xfId="0" applyNumberFormat="1" applyFont="1" applyFill="1"/>
    <xf numFmtId="0" fontId="3" fillId="3" borderId="0" xfId="0" applyFont="1" applyFill="1"/>
    <xf numFmtId="0" fontId="0" fillId="3" borderId="0" xfId="0" applyFill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4F92"/>
  </sheetPr>
  <dimension ref="A1:B54"/>
  <sheetViews>
    <sheetView showGridLines="0" tabSelected="1" workbookViewId="0">
      <pane ySplit="3" topLeftCell="A4" activePane="bottomLeft" state="frozen"/>
      <selection pane="bottomLeft" sqref="A1:B1"/>
    </sheetView>
  </sheetViews>
  <sheetFormatPr defaultRowHeight="14.25" x14ac:dyDescent="0.45"/>
  <cols>
    <col min="1" max="1" width="6" customWidth="1"/>
    <col min="2" max="2" width="110" customWidth="1"/>
  </cols>
  <sheetData>
    <row r="1" spans="1:2" ht="26" customHeight="1" x14ac:dyDescent="0.45">
      <c r="A1" s="17" t="s">
        <v>0</v>
      </c>
      <c r="B1" s="18"/>
    </row>
    <row r="2" spans="1:2" ht="18" customHeight="1" x14ac:dyDescent="0.45">
      <c r="A2" s="15" t="s">
        <v>1</v>
      </c>
      <c r="B2" s="16"/>
    </row>
    <row r="4" spans="1:2" ht="16.05" customHeight="1" x14ac:dyDescent="0.45">
      <c r="A4" s="13" t="s">
        <v>2</v>
      </c>
      <c r="B4" s="14"/>
    </row>
    <row r="5" spans="1:2" ht="30" customHeight="1" x14ac:dyDescent="0.45">
      <c r="B5" s="1" t="s">
        <v>3</v>
      </c>
    </row>
    <row r="6" spans="1:2" ht="30" customHeight="1" x14ac:dyDescent="0.45">
      <c r="B6" s="1" t="s">
        <v>4</v>
      </c>
    </row>
    <row r="7" spans="1:2" x14ac:dyDescent="0.45">
      <c r="B7" s="1" t="s">
        <v>5</v>
      </c>
    </row>
    <row r="9" spans="1:2" ht="16.05" customHeight="1" x14ac:dyDescent="0.45">
      <c r="A9" s="13" t="s">
        <v>6</v>
      </c>
      <c r="B9" s="14"/>
    </row>
    <row r="10" spans="1:2" ht="30" customHeight="1" x14ac:dyDescent="0.45">
      <c r="B10" s="1" t="s">
        <v>7</v>
      </c>
    </row>
    <row r="11" spans="1:2" x14ac:dyDescent="0.45">
      <c r="B11" s="1" t="s">
        <v>8</v>
      </c>
    </row>
    <row r="12" spans="1:2" ht="30" customHeight="1" x14ac:dyDescent="0.45">
      <c r="B12" s="2" t="s">
        <v>9</v>
      </c>
    </row>
    <row r="13" spans="1:2" x14ac:dyDescent="0.45">
      <c r="B13" s="3" t="s">
        <v>10</v>
      </c>
    </row>
    <row r="15" spans="1:2" ht="16.05" customHeight="1" x14ac:dyDescent="0.45">
      <c r="A15" s="13" t="s">
        <v>11</v>
      </c>
      <c r="B15" s="14"/>
    </row>
    <row r="16" spans="1:2" ht="30" customHeight="1" x14ac:dyDescent="0.45">
      <c r="B16" s="1" t="s">
        <v>12</v>
      </c>
    </row>
    <row r="17" spans="1:2" ht="90" customHeight="1" x14ac:dyDescent="0.45">
      <c r="B17" s="2" t="s">
        <v>13</v>
      </c>
    </row>
    <row r="18" spans="1:2" ht="30" customHeight="1" x14ac:dyDescent="0.45">
      <c r="B18" s="3" t="s">
        <v>14</v>
      </c>
    </row>
    <row r="20" spans="1:2" ht="16.05" customHeight="1" x14ac:dyDescent="0.45">
      <c r="A20" s="13" t="s">
        <v>15</v>
      </c>
      <c r="B20" s="14"/>
    </row>
    <row r="21" spans="1:2" ht="18" customHeight="1" x14ac:dyDescent="0.45">
      <c r="A21" s="4">
        <v>1</v>
      </c>
      <c r="B21" s="1" t="s">
        <v>16</v>
      </c>
    </row>
    <row r="22" spans="1:2" ht="30" customHeight="1" x14ac:dyDescent="0.45">
      <c r="B22" s="2" t="s">
        <v>17</v>
      </c>
    </row>
    <row r="23" spans="1:2" ht="30" customHeight="1" x14ac:dyDescent="0.45">
      <c r="B23" s="3" t="s">
        <v>18</v>
      </c>
    </row>
    <row r="25" spans="1:2" ht="30" customHeight="1" x14ac:dyDescent="0.45">
      <c r="A25" s="4">
        <v>2</v>
      </c>
      <c r="B25" s="1" t="s">
        <v>19</v>
      </c>
    </row>
    <row r="26" spans="1:2" ht="45" customHeight="1" x14ac:dyDescent="0.45">
      <c r="B26" s="2" t="s">
        <v>20</v>
      </c>
    </row>
    <row r="27" spans="1:2" ht="30" customHeight="1" x14ac:dyDescent="0.45">
      <c r="B27" s="3" t="s">
        <v>21</v>
      </c>
    </row>
    <row r="29" spans="1:2" ht="30" customHeight="1" x14ac:dyDescent="0.45">
      <c r="A29" s="4">
        <v>3</v>
      </c>
      <c r="B29" s="1" t="s">
        <v>22</v>
      </c>
    </row>
    <row r="30" spans="1:2" ht="30" customHeight="1" x14ac:dyDescent="0.45">
      <c r="B30" s="2" t="s">
        <v>23</v>
      </c>
    </row>
    <row r="31" spans="1:2" ht="30" customHeight="1" x14ac:dyDescent="0.45">
      <c r="B31" s="3" t="s">
        <v>24</v>
      </c>
    </row>
    <row r="33" spans="1:2" ht="30" customHeight="1" x14ac:dyDescent="0.45">
      <c r="A33" s="4">
        <v>4</v>
      </c>
      <c r="B33" s="1" t="s">
        <v>25</v>
      </c>
    </row>
    <row r="34" spans="1:2" ht="45" customHeight="1" x14ac:dyDescent="0.45">
      <c r="B34" s="2" t="s">
        <v>26</v>
      </c>
    </row>
    <row r="35" spans="1:2" ht="30" customHeight="1" x14ac:dyDescent="0.45">
      <c r="B35" s="3" t="s">
        <v>27</v>
      </c>
    </row>
    <row r="37" spans="1:2" ht="30" customHeight="1" x14ac:dyDescent="0.45">
      <c r="A37" s="4">
        <v>5</v>
      </c>
      <c r="B37" s="1" t="s">
        <v>28</v>
      </c>
    </row>
    <row r="38" spans="1:2" ht="30" customHeight="1" x14ac:dyDescent="0.45">
      <c r="B38" s="2" t="s">
        <v>29</v>
      </c>
    </row>
    <row r="39" spans="1:2" ht="30" customHeight="1" x14ac:dyDescent="0.45">
      <c r="B39" s="3" t="s">
        <v>30</v>
      </c>
    </row>
    <row r="41" spans="1:2" ht="18" customHeight="1" x14ac:dyDescent="0.45">
      <c r="A41" s="4">
        <v>6</v>
      </c>
      <c r="B41" s="1" t="s">
        <v>31</v>
      </c>
    </row>
    <row r="42" spans="1:2" ht="30" customHeight="1" x14ac:dyDescent="0.45">
      <c r="B42" s="2" t="s">
        <v>32</v>
      </c>
    </row>
    <row r="43" spans="1:2" ht="30" customHeight="1" x14ac:dyDescent="0.45">
      <c r="B43" s="3" t="s">
        <v>33</v>
      </c>
    </row>
    <row r="45" spans="1:2" ht="16.05" customHeight="1" x14ac:dyDescent="0.45">
      <c r="A45" s="13" t="s">
        <v>34</v>
      </c>
      <c r="B45" s="14"/>
    </row>
    <row r="46" spans="1:2" x14ac:dyDescent="0.45">
      <c r="B46" s="1" t="s">
        <v>35</v>
      </c>
    </row>
    <row r="47" spans="1:2" x14ac:dyDescent="0.45">
      <c r="B47" s="1" t="s">
        <v>36</v>
      </c>
    </row>
    <row r="48" spans="1:2" x14ac:dyDescent="0.45">
      <c r="B48" s="1" t="s">
        <v>37</v>
      </c>
    </row>
    <row r="50" spans="1:2" ht="16.05" customHeight="1" x14ac:dyDescent="0.45">
      <c r="A50" s="13" t="s">
        <v>38</v>
      </c>
      <c r="B50" s="14"/>
    </row>
    <row r="51" spans="1:2" x14ac:dyDescent="0.45">
      <c r="A51" s="5"/>
      <c r="B51" s="1" t="s">
        <v>39</v>
      </c>
    </row>
    <row r="52" spans="1:2" x14ac:dyDescent="0.45">
      <c r="A52" s="6"/>
      <c r="B52" s="1" t="s">
        <v>40</v>
      </c>
    </row>
    <row r="53" spans="1:2" ht="15.75" x14ac:dyDescent="0.5">
      <c r="A53" s="7"/>
      <c r="B53" s="1" t="s">
        <v>41</v>
      </c>
    </row>
    <row r="54" spans="1:2" x14ac:dyDescent="0.45">
      <c r="A54" s="2"/>
      <c r="B54" s="1" t="s">
        <v>42</v>
      </c>
    </row>
  </sheetData>
  <mergeCells count="8">
    <mergeCell ref="A1:B1"/>
    <mergeCell ref="A9:B9"/>
    <mergeCell ref="A50:B50"/>
    <mergeCell ref="A4:B4"/>
    <mergeCell ref="A20:B20"/>
    <mergeCell ref="A2:B2"/>
    <mergeCell ref="A15:B15"/>
    <mergeCell ref="A45:B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H64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4" customWidth="1"/>
    <col min="4" max="4" width="50" customWidth="1"/>
  </cols>
  <sheetData>
    <row r="1" spans="1:8" ht="26" customHeight="1" x14ac:dyDescent="0.45">
      <c r="A1" s="17" t="s">
        <v>43</v>
      </c>
      <c r="B1" s="18"/>
      <c r="C1" s="18"/>
      <c r="D1" s="18"/>
      <c r="E1" s="18"/>
      <c r="F1" s="18"/>
      <c r="G1" s="18"/>
      <c r="H1" s="18"/>
    </row>
    <row r="2" spans="1:8" ht="18" customHeight="1" x14ac:dyDescent="0.45">
      <c r="A2" s="15" t="s">
        <v>44</v>
      </c>
      <c r="B2" s="16"/>
      <c r="C2" s="16"/>
      <c r="D2" s="16"/>
      <c r="E2" s="16"/>
      <c r="F2" s="16"/>
      <c r="G2" s="16"/>
      <c r="H2" s="16"/>
    </row>
    <row r="4" spans="1:8" x14ac:dyDescent="0.45">
      <c r="A4" s="8" t="s">
        <v>45</v>
      </c>
      <c r="B4" s="8" t="s">
        <v>46</v>
      </c>
    </row>
    <row r="5" spans="1:8" ht="28.5" x14ac:dyDescent="0.45">
      <c r="A5" t="s">
        <v>47</v>
      </c>
      <c r="B5" s="9">
        <v>9237.9</v>
      </c>
      <c r="D5" s="3" t="s">
        <v>48</v>
      </c>
    </row>
    <row r="6" spans="1:8" x14ac:dyDescent="0.45">
      <c r="A6" t="s">
        <v>49</v>
      </c>
      <c r="B6" s="9">
        <v>7949.8</v>
      </c>
    </row>
    <row r="7" spans="1:8" x14ac:dyDescent="0.45">
      <c r="A7" t="s">
        <v>50</v>
      </c>
      <c r="B7" s="9">
        <v>8371.2999999999993</v>
      </c>
    </row>
    <row r="8" spans="1:8" x14ac:dyDescent="0.45">
      <c r="A8" t="s">
        <v>51</v>
      </c>
      <c r="B8" s="9">
        <v>8432</v>
      </c>
    </row>
    <row r="9" spans="1:8" x14ac:dyDescent="0.45">
      <c r="A9" t="s">
        <v>52</v>
      </c>
      <c r="B9" s="9">
        <v>9040.4</v>
      </c>
    </row>
    <row r="10" spans="1:8" x14ac:dyDescent="0.45">
      <c r="A10" t="s">
        <v>53</v>
      </c>
      <c r="B10" s="9">
        <v>9251</v>
      </c>
    </row>
    <row r="11" spans="1:8" x14ac:dyDescent="0.45">
      <c r="A11" t="s">
        <v>54</v>
      </c>
      <c r="B11" s="9">
        <v>10174.1</v>
      </c>
    </row>
    <row r="12" spans="1:8" x14ac:dyDescent="0.45">
      <c r="A12" t="s">
        <v>55</v>
      </c>
      <c r="B12" s="9">
        <v>10228.5</v>
      </c>
    </row>
    <row r="13" spans="1:8" x14ac:dyDescent="0.45">
      <c r="A13" t="s">
        <v>56</v>
      </c>
      <c r="B13" s="9">
        <v>10005.4</v>
      </c>
    </row>
    <row r="14" spans="1:8" x14ac:dyDescent="0.45">
      <c r="A14" t="s">
        <v>57</v>
      </c>
      <c r="B14" s="9">
        <v>10338.700000000001</v>
      </c>
    </row>
    <row r="15" spans="1:8" x14ac:dyDescent="0.45">
      <c r="A15" t="s">
        <v>58</v>
      </c>
      <c r="B15" s="9">
        <v>10604.2</v>
      </c>
    </row>
    <row r="16" spans="1:8" x14ac:dyDescent="0.45">
      <c r="A16" t="s">
        <v>59</v>
      </c>
      <c r="B16" s="9">
        <v>10455.799999999999</v>
      </c>
    </row>
    <row r="17" spans="1:2" x14ac:dyDescent="0.45">
      <c r="A17" t="s">
        <v>60</v>
      </c>
      <c r="B17" s="9">
        <v>10366.1</v>
      </c>
    </row>
    <row r="18" spans="1:2" x14ac:dyDescent="0.45">
      <c r="A18" t="s">
        <v>61</v>
      </c>
      <c r="B18" s="9">
        <v>10786.2</v>
      </c>
    </row>
    <row r="19" spans="1:2" x14ac:dyDescent="0.45">
      <c r="A19" t="s">
        <v>62</v>
      </c>
      <c r="B19" s="9">
        <v>11214.8</v>
      </c>
    </row>
    <row r="20" spans="1:2" x14ac:dyDescent="0.45">
      <c r="A20" t="s">
        <v>63</v>
      </c>
      <c r="B20" s="9">
        <v>10982.3</v>
      </c>
    </row>
    <row r="21" spans="1:2" x14ac:dyDescent="0.45">
      <c r="A21" t="s">
        <v>64</v>
      </c>
      <c r="B21" s="9">
        <v>10822.7</v>
      </c>
    </row>
    <row r="22" spans="1:2" x14ac:dyDescent="0.45">
      <c r="A22" t="s">
        <v>65</v>
      </c>
      <c r="B22" s="9">
        <v>9925</v>
      </c>
    </row>
    <row r="23" spans="1:2" x14ac:dyDescent="0.45">
      <c r="A23" t="s">
        <v>66</v>
      </c>
      <c r="B23" s="9">
        <v>10834.9</v>
      </c>
    </row>
    <row r="24" spans="1:2" x14ac:dyDescent="0.45">
      <c r="A24" t="s">
        <v>67</v>
      </c>
      <c r="B24" s="9">
        <v>10754.3</v>
      </c>
    </row>
    <row r="25" spans="1:2" x14ac:dyDescent="0.45">
      <c r="A25" t="s">
        <v>68</v>
      </c>
      <c r="B25" s="9">
        <v>11541.1</v>
      </c>
    </row>
    <row r="26" spans="1:2" x14ac:dyDescent="0.45">
      <c r="A26" t="s">
        <v>69</v>
      </c>
      <c r="B26" s="9">
        <v>11828.9</v>
      </c>
    </row>
    <row r="27" spans="1:2" x14ac:dyDescent="0.45">
      <c r="A27" t="s">
        <v>70</v>
      </c>
      <c r="B27" s="9">
        <v>13085.3</v>
      </c>
    </row>
    <row r="28" spans="1:2" x14ac:dyDescent="0.45">
      <c r="A28" t="s">
        <v>71</v>
      </c>
      <c r="B28" s="9">
        <v>14183.7</v>
      </c>
    </row>
    <row r="29" spans="1:2" x14ac:dyDescent="0.45">
      <c r="A29" t="s">
        <v>72</v>
      </c>
      <c r="B29" s="9">
        <v>14465.4</v>
      </c>
    </row>
    <row r="30" spans="1:2" x14ac:dyDescent="0.45">
      <c r="A30" t="s">
        <v>73</v>
      </c>
      <c r="B30" s="9">
        <v>15635.6</v>
      </c>
    </row>
    <row r="31" spans="1:2" x14ac:dyDescent="0.45">
      <c r="A31" t="s">
        <v>74</v>
      </c>
      <c r="B31" s="9">
        <v>14966.2</v>
      </c>
    </row>
    <row r="32" spans="1:2" x14ac:dyDescent="0.45">
      <c r="A32" t="s">
        <v>75</v>
      </c>
      <c r="B32" s="9">
        <v>15998.2</v>
      </c>
    </row>
    <row r="33" spans="1:2" x14ac:dyDescent="0.45">
      <c r="A33" t="s">
        <v>76</v>
      </c>
      <c r="B33" s="9">
        <v>14912.5</v>
      </c>
    </row>
    <row r="34" spans="1:2" x14ac:dyDescent="0.45">
      <c r="A34" t="s">
        <v>77</v>
      </c>
      <c r="B34" s="9">
        <v>15227.7</v>
      </c>
    </row>
    <row r="35" spans="1:2" x14ac:dyDescent="0.45">
      <c r="A35" t="s">
        <v>78</v>
      </c>
      <c r="B35" s="9">
        <v>16120.8</v>
      </c>
    </row>
    <row r="36" spans="1:2" x14ac:dyDescent="0.45">
      <c r="A36" t="s">
        <v>79</v>
      </c>
      <c r="B36" s="9">
        <v>16363.3</v>
      </c>
    </row>
    <row r="37" spans="1:2" x14ac:dyDescent="0.45">
      <c r="A37" t="s">
        <v>80</v>
      </c>
      <c r="B37" s="9">
        <v>16126</v>
      </c>
    </row>
    <row r="38" spans="1:2" x14ac:dyDescent="0.45">
      <c r="A38" t="s">
        <v>81</v>
      </c>
      <c r="B38" s="9">
        <v>15547.6</v>
      </c>
    </row>
    <row r="39" spans="1:2" x14ac:dyDescent="0.45">
      <c r="A39" t="s">
        <v>82</v>
      </c>
      <c r="B39" s="9">
        <v>15340.8</v>
      </c>
    </row>
    <row r="40" spans="1:2" x14ac:dyDescent="0.45">
      <c r="A40" t="s">
        <v>83</v>
      </c>
      <c r="B40" s="9">
        <v>16229.3</v>
      </c>
    </row>
    <row r="41" spans="1:2" x14ac:dyDescent="0.45">
      <c r="A41" t="s">
        <v>84</v>
      </c>
      <c r="B41" s="9">
        <v>17032.3</v>
      </c>
    </row>
    <row r="42" spans="1:2" x14ac:dyDescent="0.45">
      <c r="A42" t="s">
        <v>85</v>
      </c>
      <c r="B42" s="9">
        <v>16873.7</v>
      </c>
    </row>
    <row r="43" spans="1:2" x14ac:dyDescent="0.45">
      <c r="A43" t="s">
        <v>86</v>
      </c>
      <c r="B43" s="9">
        <v>15914.1</v>
      </c>
    </row>
    <row r="44" spans="1:2" x14ac:dyDescent="0.45">
      <c r="A44" t="s">
        <v>87</v>
      </c>
      <c r="B44" s="9">
        <v>16521.400000000001</v>
      </c>
    </row>
    <row r="45" spans="1:2" x14ac:dyDescent="0.45">
      <c r="A45" t="s">
        <v>88</v>
      </c>
      <c r="B45" s="9">
        <v>15423.8</v>
      </c>
    </row>
    <row r="46" spans="1:2" x14ac:dyDescent="0.45">
      <c r="A46" t="s">
        <v>89</v>
      </c>
      <c r="B46" s="9">
        <v>15076.2</v>
      </c>
    </row>
    <row r="47" spans="1:2" x14ac:dyDescent="0.45">
      <c r="A47" t="s">
        <v>90</v>
      </c>
      <c r="B47" s="9">
        <v>14587</v>
      </c>
    </row>
    <row r="48" spans="1:2" x14ac:dyDescent="0.45">
      <c r="A48" t="s">
        <v>91</v>
      </c>
      <c r="B48" s="9">
        <v>15196.1</v>
      </c>
    </row>
    <row r="49" spans="1:2" x14ac:dyDescent="0.45">
      <c r="A49" t="s">
        <v>92</v>
      </c>
      <c r="B49" s="9">
        <v>15434.2</v>
      </c>
    </row>
    <row r="50" spans="1:2" x14ac:dyDescent="0.45">
      <c r="A50" t="s">
        <v>93</v>
      </c>
      <c r="B50" s="9">
        <v>15854.2</v>
      </c>
    </row>
    <row r="51" spans="1:2" x14ac:dyDescent="0.45">
      <c r="A51" t="s">
        <v>94</v>
      </c>
      <c r="B51" s="9">
        <v>16132</v>
      </c>
    </row>
    <row r="52" spans="1:2" x14ac:dyDescent="0.45">
      <c r="A52" t="s">
        <v>95</v>
      </c>
      <c r="B52" s="9">
        <v>15652.9</v>
      </c>
    </row>
    <row r="53" spans="1:2" x14ac:dyDescent="0.45">
      <c r="A53" t="s">
        <v>96</v>
      </c>
      <c r="B53" s="9">
        <v>16138</v>
      </c>
    </row>
    <row r="54" spans="1:2" x14ac:dyDescent="0.45">
      <c r="A54" t="s">
        <v>97</v>
      </c>
      <c r="B54" s="9">
        <v>17384</v>
      </c>
    </row>
    <row r="55" spans="1:2" x14ac:dyDescent="0.45">
      <c r="A55" t="s">
        <v>98</v>
      </c>
      <c r="B55" s="9">
        <v>17417.3</v>
      </c>
    </row>
    <row r="56" spans="1:2" x14ac:dyDescent="0.45">
      <c r="A56" t="s">
        <v>99</v>
      </c>
      <c r="B56" s="9">
        <v>18045.400000000001</v>
      </c>
    </row>
    <row r="57" spans="1:2" x14ac:dyDescent="0.45">
      <c r="A57" t="s">
        <v>100</v>
      </c>
      <c r="B57" s="9">
        <v>17999.599999999999</v>
      </c>
    </row>
    <row r="58" spans="1:2" x14ac:dyDescent="0.45">
      <c r="A58" t="s">
        <v>101</v>
      </c>
      <c r="B58" s="9">
        <v>19020.7</v>
      </c>
    </row>
    <row r="59" spans="1:2" x14ac:dyDescent="0.45">
      <c r="A59" t="s">
        <v>102</v>
      </c>
      <c r="B59" s="9">
        <v>19739.2</v>
      </c>
    </row>
    <row r="60" spans="1:2" x14ac:dyDescent="0.45">
      <c r="A60" t="s">
        <v>103</v>
      </c>
      <c r="B60" s="9">
        <v>20700.3</v>
      </c>
    </row>
    <row r="61" spans="1:2" x14ac:dyDescent="0.45">
      <c r="A61" t="s">
        <v>104</v>
      </c>
      <c r="B61" s="9">
        <v>21143.200000000001</v>
      </c>
    </row>
    <row r="62" spans="1:2" x14ac:dyDescent="0.45">
      <c r="A62" t="s">
        <v>105</v>
      </c>
      <c r="B62" s="9">
        <v>23036.3</v>
      </c>
    </row>
    <row r="63" spans="1:2" x14ac:dyDescent="0.45">
      <c r="A63" t="s">
        <v>106</v>
      </c>
      <c r="B63" s="9">
        <v>22709</v>
      </c>
    </row>
    <row r="64" spans="1:2" x14ac:dyDescent="0.45">
      <c r="A64" t="s">
        <v>107</v>
      </c>
      <c r="B64" s="9">
        <v>22416.7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4F92"/>
  </sheetPr>
  <dimension ref="A1:M9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45"/>
  <cols>
    <col min="1" max="1" width="34" customWidth="1"/>
    <col min="2" max="13" width="9" customWidth="1"/>
  </cols>
  <sheetData>
    <row r="1" spans="1:13" ht="26" customHeight="1" x14ac:dyDescent="0.45">
      <c r="A1" s="17" t="s">
        <v>108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8" customHeight="1" x14ac:dyDescent="0.45">
      <c r="A2" s="15" t="s">
        <v>109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spans="1:13" ht="16.05" customHeight="1" x14ac:dyDescent="0.45">
      <c r="A4" s="13" t="s">
        <v>110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45">
      <c r="A5" s="8"/>
      <c r="B5" s="10" t="s">
        <v>111</v>
      </c>
      <c r="C5" s="10" t="s">
        <v>112</v>
      </c>
      <c r="D5" s="10" t="s">
        <v>113</v>
      </c>
      <c r="E5" s="10" t="s">
        <v>114</v>
      </c>
      <c r="F5" s="10" t="s">
        <v>115</v>
      </c>
      <c r="G5" s="10" t="s">
        <v>116</v>
      </c>
      <c r="H5" s="10" t="s">
        <v>117</v>
      </c>
      <c r="I5" s="10" t="s">
        <v>118</v>
      </c>
      <c r="J5" s="10" t="s">
        <v>119</v>
      </c>
      <c r="K5" s="10" t="s">
        <v>120</v>
      </c>
      <c r="L5" s="10" t="s">
        <v>121</v>
      </c>
      <c r="M5" s="10" t="s">
        <v>122</v>
      </c>
    </row>
    <row r="6" spans="1:13" x14ac:dyDescent="0.45">
      <c r="A6" t="s">
        <v>123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28.05" customHeight="1" x14ac:dyDescent="0.45">
      <c r="A7" s="19" t="s">
        <v>124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9" spans="1:13" ht="15.75" x14ac:dyDescent="0.5">
      <c r="A9" t="s">
        <v>125</v>
      </c>
      <c r="B9" s="12">
        <f>M6</f>
        <v>0</v>
      </c>
      <c r="C9" s="19" t="s">
        <v>126</v>
      </c>
      <c r="D9" s="16"/>
      <c r="E9" s="16"/>
      <c r="F9" s="16"/>
      <c r="G9" s="16"/>
      <c r="H9" s="16"/>
    </row>
  </sheetData>
  <mergeCells count="5">
    <mergeCell ref="A1:M1"/>
    <mergeCell ref="C9:H9"/>
    <mergeCell ref="A4:M4"/>
    <mergeCell ref="A7:M7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Timour Koupeev</cp:lastModifiedBy>
  <dcterms:created xsi:type="dcterms:W3CDTF">2026-07-05T17:59:53Z</dcterms:created>
  <dcterms:modified xsi:type="dcterms:W3CDTF">2026-07-05T18:09:26Z</dcterms:modified>
</cp:coreProperties>
</file>