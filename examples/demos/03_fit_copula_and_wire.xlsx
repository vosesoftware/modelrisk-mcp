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ou\source\repos\modelrisk-mcp\examples\demos\"/>
    </mc:Choice>
  </mc:AlternateContent>
  <xr:revisionPtr revIDLastSave="0" documentId="13_ncr:1_{D2608745-0280-497B-86E5-091F466EED62}" xr6:coauthVersionLast="47" xr6:coauthVersionMax="47" xr10:uidLastSave="{00000000-0000-0000-0000-000000000000}"/>
  <bookViews>
    <workbookView xWindow="-98" yWindow="-98" windowWidth="21795" windowHeight="12975" xr2:uid="{00000000-000D-0000-FFFF-FFFF00000000}"/>
  </bookViews>
  <sheets>
    <sheet name="README" sheetId="1" r:id="rId1"/>
    <sheet name="Data" sheetId="2" r:id="rId2"/>
    <sheet name="Mode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alcChain>
</file>

<file path=xl/sharedStrings.xml><?xml version="1.0" encoding="utf-8"?>
<sst xmlns="http://schemas.openxmlformats.org/spreadsheetml/2006/main" count="68" uniqueCount="66">
  <si>
    <t>Demo 03 — Fit dependence from data and wire a correlated model</t>
  </si>
  <si>
    <t>Fit a copula and marginals to 20 years of cost data, then wire a fully correlated Monte Carlo model in one pass.</t>
  </si>
  <si>
    <t>WHAT THIS DEMO SHOWS</t>
  </si>
  <si>
    <t>A road contractor's three input costs — steel, diesel and labour — move TOGETHER in bad months. 240 months of history sit on the 'Data' sheet.</t>
  </si>
  <si>
    <t>Claude measures the dependence structure FROM the data (copula fitting), then wires fitted marginals plus the copula into the cost model — atomically, with rollback.</t>
  </si>
  <si>
    <t>Tools demonstrated: fit_copula_to_data, fit_all_data_and_wire, run_simulation, get_simulation_results</t>
  </si>
  <si>
    <t>GETTING STARTED</t>
  </si>
  <si>
    <t>You need: Windows Excel with the ModelRisk add-in installed and licensed, and modelrisk-mcp connected to Claude (Claude Desktop or Claude Code).</t>
  </si>
  <si>
    <t>Save the demo gallery folder anywhere on your PC. Once per session, tell Claude where it is and which demo to open:</t>
  </si>
  <si>
    <t>PROMPT →  My ModelRisk demo gallery is in &lt;your folder, e.g. Documents\modelrisk-demos&gt;. Open 03_fit_copula_and_wire.xlsx from there.</t>
  </si>
  <si>
    <t>Claude remembers the folder for the rest of the session — later demos just need "Open &lt;file&gt; from the demo folder".</t>
  </si>
  <si>
    <t>FAST TRACK — ONE PROMPT DOES IT ALL</t>
  </si>
  <si>
    <t>In a hurry? This single prompt runs the whole demo end-to-end. Prefer to learn how it works? Skip to the numbered steps below — same result, one capability at a time.</t>
  </si>
  <si>
    <t>PROMPT →  Fit copulas to 'Data'!A5:C244 of this workbook and tell me the best family and its tail dependence. Then fit the marginals and the copula and wire them into Model!B10, B11 and B12 with input names Steel, Diesel and Labour and the copula block at H6 — for real — and run 5,000 iterations. Give me the P80 total cost and one sentence on why the correlation matters here.</t>
  </si>
  <si>
    <t>Expected: a correlated, simulation-validated cost model wired from raw data, plus the P80.</t>
  </si>
  <si>
    <t>STEP-BY-STEP</t>
  </si>
  <si>
    <t>1</t>
  </si>
  <si>
    <t>Open the workbook in Excel.</t>
  </si>
  <si>
    <t>PROMPT →  Open 03_fit_copula_and_wire.xlsx from the demo folder.</t>
  </si>
  <si>
    <t>Expected: the workbook opens with README, Data and Model sheets.</t>
  </si>
  <si>
    <t>2</t>
  </si>
  <si>
    <t>Fit the dependence structure FROM the data.</t>
  </si>
  <si>
    <t>PROMPT →  Fit copulas to 'Data'!A5:C244 — which family fits best, and does it have tail dependence I should worry about?</t>
  </si>
  <si>
    <t>Expected: a ranked list of copula families; Clayton should win, with LOWER-tail dependence — the three costs crash/spike together (fit_copula_to_data).</t>
  </si>
  <si>
    <t>3</t>
  </si>
  <si>
    <t>Wire the whole correlated model in one pass — preview first.</t>
  </si>
  <si>
    <t>PROMPT →  Fit marginals and the copula to that data and wire them into Model!B10, B11, B12 with input names Steel, Diesel, Labour and the copula block at H6 — preview first.</t>
  </si>
  <si>
    <t>Expected: a preview of the fitted marginal for each column plus the copula block, with nothing written yet.</t>
  </si>
  <si>
    <t>4</t>
  </si>
  <si>
    <t>Commit and validate.</t>
  </si>
  <si>
    <t>PROMPT →  Do it for real and run 5,000 iterations.</t>
  </si>
  <si>
    <t>Expected: three VoseInput(...) + Vose&lt;Family&gt;Fit(..., U) cells wired to the copula block at H6:H8; the build is atomic with rollback (fit_all_data_and_wire), then a 5,000-iteration run completes.</t>
  </si>
  <si>
    <t>5</t>
  </si>
  <si>
    <t>The payoff.</t>
  </si>
  <si>
    <t>PROMPT →  What is the P80 total cost, and how much higher is it than if the three inputs were independent?</t>
  </si>
  <si>
    <t>Expected: the correlated P80 is materially higher than the independent case — the whole point of copulas.</t>
  </si>
  <si>
    <t>WHAT TO LOOK FOR</t>
  </si>
  <si>
    <t>• The dependence is MEASURED from data, not assumed — the copula family and its parameter come straight from history.</t>
  </si>
  <si>
    <t>• A plain correlation number would miss the joint-tail behaviour: Clayton says bad months for steel are bad months for diesel and labour too.</t>
  </si>
  <si>
    <t>• The wiring is atomic — a mid-build failure rolls the workbook back automatically.</t>
  </si>
  <si>
    <t>COLOUR LEGEND</t>
  </si>
  <si>
    <t>Light blue + blue text: an input you can change</t>
  </si>
  <si>
    <t>Pale yellow: where Claude will write Vose formulas / results land</t>
  </si>
  <si>
    <t>Green bold: the key decision metric</t>
  </si>
  <si>
    <t>Grey italic: a prompt to type to Claude</t>
  </si>
  <si>
    <t>Monthly input costs — 20 years</t>
  </si>
  <si>
    <t>240 months of steel, diesel and labour costs — they move together in bad months.</t>
  </si>
  <si>
    <t>Steel ($/t)</t>
  </si>
  <si>
    <t>Diesel ($/L)</t>
  </si>
  <si>
    <t>Labour index</t>
  </si>
  <si>
    <t>Source: synthetic demo data, seed=11, generated 2026-07-05. Lower-tail dependent by construction (Clayton θ=2).</t>
  </si>
  <si>
    <t>Highway job — cost calculator ($k)</t>
  </si>
  <si>
    <t>Quantities are fixed by the job; unit costs are uncertain and correlated.</t>
  </si>
  <si>
    <t>QUANTITIES</t>
  </si>
  <si>
    <t>Steel (t)</t>
  </si>
  <si>
    <t>Diesel (kL)</t>
  </si>
  <si>
    <t>Claude writes the fitted copula array here — three correlated uniforms feeding the unit-cost cells.</t>
  </si>
  <si>
    <t>Labour (k hours)</t>
  </si>
  <si>
    <t>UNIT COSTS (to be wired from data)</t>
  </si>
  <si>
    <t>Wired by Claude from the fitted marginals + copula: VoseInput(Vose&lt;Family&gt;Fit(data, U)) per cost, each U taken from the copula block at H6:H8.</t>
  </si>
  <si>
    <t>Labour index → $/hr</t>
  </si>
  <si>
    <t>COPULA</t>
  </si>
  <si>
    <t>Correlated-U block (H6:H8 on this sheet)</t>
  </si>
  <si>
    <t>TOTAL COST ($k)</t>
  </si>
  <si>
    <t>Total job cost ($k)</t>
  </si>
  <si>
    <t>Total ($k) = (steel t × $/t  +  diesel kL × 1,000 L × $/L  +  labour k-hours × 1,000 hr × (index × 0.45 $/hr)) ÷ 1,000. Shows 0 until the unit costs are wired — that is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</si>
</sst>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4"/>
      <color rgb="FFFFFFFF"/>
      <name val="Calibri"/>
    </font>
    <font>
      <i/>
      <sz val="11"/>
      <color rgb="FF808080"/>
      <name val="Calibri"/>
    </font>
    <font>
      <b/>
      <sz val="11"/>
      <color rgb="FFFFFFFF"/>
      <name val="Calibri"/>
    </font>
    <font>
      <sz val="11"/>
      <color rgb="FF000000"/>
      <name val="Calibri"/>
    </font>
    <font>
      <b/>
      <sz val="11"/>
      <color rgb="FF000000"/>
      <name val="Calibri"/>
    </font>
    <font>
      <sz val="11"/>
      <color rgb="FF0000FF"/>
      <name val="Calibri"/>
    </font>
    <font>
      <b/>
      <sz val="12"/>
      <color rgb="FF000000"/>
      <name val="Calibri"/>
    </font>
    <font>
      <b/>
      <sz val="14"/>
      <color rgb="FFFFFFFF"/>
      <name val="Calibri"/>
    </font>
    <font>
      <i/>
      <sz val="11"/>
      <color rgb="FF808080"/>
      <name val="Calibri"/>
    </font>
    <font>
      <b/>
      <sz val="11"/>
      <color rgb="FFFFFFFF"/>
      <name val="Calibri"/>
    </font>
    <font>
      <sz val="11"/>
      <color rgb="FF000000"/>
      <name val="Calibri"/>
    </font>
    <font>
      <i/>
      <sz val="11"/>
      <color rgb="FF1F3864"/>
      <name val="Calibri"/>
    </font>
    <font>
      <b/>
      <sz val="11"/>
      <color rgb="FF000000"/>
      <name val="Calibri"/>
    </font>
    <font>
      <sz val="11"/>
      <color rgb="FF0000FF"/>
      <name val="Calibri"/>
    </font>
    <font>
      <b/>
      <sz val="12"/>
      <color rgb="FF000000"/>
      <name val="Calibri"/>
    </font>
  </fonts>
  <fills count="14">
    <fill>
      <patternFill patternType="none"/>
    </fill>
    <fill>
      <patternFill patternType="gray125"/>
    </fill>
    <fill>
      <patternFill patternType="solid">
        <fgColor rgb="FF0E4F92"/>
      </patternFill>
    </fill>
    <fill>
      <patternFill patternType="solid">
        <fgColor rgb="FF1F3864"/>
      </patternFill>
    </fill>
    <fill>
      <patternFill patternType="solid">
        <fgColor rgb="FFF2F2F2"/>
      </patternFill>
    </fill>
    <fill>
      <patternFill patternType="solid">
        <fgColor rgb="FFECF4FC"/>
      </patternFill>
    </fill>
    <fill>
      <patternFill patternType="solid">
        <fgColor rgb="FFFFF8E1"/>
      </patternFill>
    </fill>
    <fill>
      <patternFill patternType="solid">
        <fgColor rgb="FFC6EFCE"/>
      </patternFill>
    </fill>
    <fill>
      <patternFill patternType="solid">
        <fgColor rgb="FF0E4F92"/>
      </patternFill>
    </fill>
    <fill>
      <patternFill patternType="solid">
        <fgColor rgb="FF1F3864"/>
      </patternFill>
    </fill>
    <fill>
      <patternFill patternType="solid">
        <fgColor rgb="FFF2F2F2"/>
      </patternFill>
    </fill>
    <fill>
      <patternFill patternType="solid">
        <fgColor rgb="FFECF4FC"/>
      </patternFill>
    </fill>
    <fill>
      <patternFill patternType="solid">
        <fgColor rgb="FFFFF8E1"/>
      </patternFill>
    </fill>
    <fill>
      <patternFill patternType="solid">
        <fgColor rgb="FFC6EFCE"/>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applyAlignment="1">
      <alignment vertical="top" wrapText="1"/>
    </xf>
    <xf numFmtId="0" fontId="5" fillId="4" borderId="0" xfId="0" applyFont="1" applyFill="1"/>
    <xf numFmtId="4" fontId="4" fillId="0" borderId="0" xfId="0" applyNumberFormat="1" applyFont="1"/>
    <xf numFmtId="2" fontId="4" fillId="0" borderId="0" xfId="0" applyNumberFormat="1" applyFont="1"/>
    <xf numFmtId="0" fontId="4" fillId="0" borderId="0" xfId="0" applyFont="1"/>
    <xf numFmtId="3" fontId="6" fillId="5" borderId="0" xfId="0" applyNumberFormat="1" applyFont="1" applyFill="1"/>
    <xf numFmtId="2" fontId="0" fillId="6" borderId="0" xfId="0" applyNumberFormat="1" applyFill="1"/>
    <xf numFmtId="164" fontId="7" fillId="7" borderId="0" xfId="0" applyNumberFormat="1" applyFont="1" applyFill="1"/>
    <xf numFmtId="0" fontId="11" fillId="0" borderId="0" xfId="0" applyFont="1" applyAlignment="1">
      <alignment vertical="top" wrapText="1"/>
    </xf>
    <xf numFmtId="0" fontId="12" fillId="10" borderId="0" xfId="0" applyFont="1" applyFill="1" applyAlignment="1">
      <alignment vertical="top" wrapText="1"/>
    </xf>
    <xf numFmtId="0" fontId="9" fillId="0" borderId="0" xfId="0" applyFont="1" applyAlignment="1">
      <alignment vertical="top" wrapText="1"/>
    </xf>
    <xf numFmtId="0" fontId="13" fillId="0" borderId="0" xfId="0" applyFont="1"/>
    <xf numFmtId="0" fontId="14" fillId="11" borderId="0" xfId="0" applyFont="1" applyFill="1"/>
    <xf numFmtId="0" fontId="0" fillId="12" borderId="0" xfId="0" applyFill="1"/>
    <xf numFmtId="0" fontId="15" fillId="13" borderId="0" xfId="0" applyFont="1" applyFill="1"/>
    <xf numFmtId="0" fontId="10" fillId="9" borderId="0" xfId="0" applyFont="1" applyFill="1"/>
    <xf numFmtId="0" fontId="0" fillId="9" borderId="0" xfId="0" applyFill="1"/>
    <xf numFmtId="0" fontId="8" fillId="8" borderId="0" xfId="0" applyFont="1" applyFill="1" applyAlignment="1">
      <alignment horizontal="left" vertical="center"/>
    </xf>
    <xf numFmtId="0" fontId="0" fillId="8" borderId="0" xfId="0" applyFill="1"/>
    <xf numFmtId="0" fontId="9" fillId="0" borderId="0" xfId="0" applyFont="1"/>
    <xf numFmtId="0" fontId="0" fillId="0" borderId="0" xfId="0"/>
    <xf numFmtId="0" fontId="2" fillId="0" borderId="0" xfId="0" applyFont="1"/>
    <xf numFmtId="0" fontId="1" fillId="2" borderId="0" xfId="0" applyFont="1" applyFill="1" applyAlignment="1">
      <alignment horizontal="left" vertical="center"/>
    </xf>
    <xf numFmtId="0" fontId="2" fillId="0" borderId="0" xfId="0" applyFont="1" applyAlignment="1">
      <alignment vertical="top" wrapText="1"/>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4F92"/>
  </sheetPr>
  <dimension ref="A1:B50"/>
  <sheetViews>
    <sheetView showGridLines="0" tabSelected="1" workbookViewId="0">
      <pane ySplit="3" topLeftCell="A4" activePane="bottomLeft" state="frozen"/>
      <selection pane="bottomLeft" sqref="A1:B1"/>
    </sheetView>
  </sheetViews>
  <sheetFormatPr defaultRowHeight="14.25" x14ac:dyDescent="0.45"/>
  <cols>
    <col min="1" max="1" width="6" customWidth="1"/>
    <col min="2" max="2" width="110" customWidth="1"/>
  </cols>
  <sheetData>
    <row r="1" spans="1:2" ht="26" customHeight="1" x14ac:dyDescent="0.45">
      <c r="A1" s="18" t="s">
        <v>0</v>
      </c>
      <c r="B1" s="19"/>
    </row>
    <row r="2" spans="1:2" ht="18" customHeight="1" x14ac:dyDescent="0.45">
      <c r="A2" s="20" t="s">
        <v>1</v>
      </c>
      <c r="B2" s="21"/>
    </row>
    <row r="4" spans="1:2" ht="16.05" customHeight="1" x14ac:dyDescent="0.45">
      <c r="A4" s="16" t="s">
        <v>2</v>
      </c>
      <c r="B4" s="17"/>
    </row>
    <row r="5" spans="1:2" ht="30" customHeight="1" x14ac:dyDescent="0.45">
      <c r="B5" s="9" t="s">
        <v>3</v>
      </c>
    </row>
    <row r="6" spans="1:2" ht="30" customHeight="1" x14ac:dyDescent="0.45">
      <c r="B6" s="9" t="s">
        <v>4</v>
      </c>
    </row>
    <row r="7" spans="1:2" x14ac:dyDescent="0.45">
      <c r="B7" s="9" t="s">
        <v>5</v>
      </c>
    </row>
    <row r="9" spans="1:2" ht="16.05" customHeight="1" x14ac:dyDescent="0.45">
      <c r="A9" s="16" t="s">
        <v>6</v>
      </c>
      <c r="B9" s="17"/>
    </row>
    <row r="10" spans="1:2" ht="30" customHeight="1" x14ac:dyDescent="0.45">
      <c r="B10" s="9" t="s">
        <v>7</v>
      </c>
    </row>
    <row r="11" spans="1:2" ht="30" customHeight="1" x14ac:dyDescent="0.45">
      <c r="B11" s="9" t="s">
        <v>8</v>
      </c>
    </row>
    <row r="12" spans="1:2" ht="30" customHeight="1" x14ac:dyDescent="0.45">
      <c r="B12" s="10" t="s">
        <v>9</v>
      </c>
    </row>
    <row r="13" spans="1:2" ht="30" customHeight="1" x14ac:dyDescent="0.45">
      <c r="B13" s="11" t="s">
        <v>10</v>
      </c>
    </row>
    <row r="15" spans="1:2" ht="16.05" customHeight="1" x14ac:dyDescent="0.45">
      <c r="A15" s="16" t="s">
        <v>11</v>
      </c>
      <c r="B15" s="17"/>
    </row>
    <row r="16" spans="1:2" ht="30" customHeight="1" x14ac:dyDescent="0.45">
      <c r="B16" s="9" t="s">
        <v>12</v>
      </c>
    </row>
    <row r="17" spans="1:2" ht="75" customHeight="1" x14ac:dyDescent="0.45">
      <c r="B17" s="10" t="s">
        <v>13</v>
      </c>
    </row>
    <row r="18" spans="1:2" x14ac:dyDescent="0.45">
      <c r="B18" s="11" t="s">
        <v>14</v>
      </c>
    </row>
    <row r="20" spans="1:2" ht="16.05" customHeight="1" x14ac:dyDescent="0.45">
      <c r="A20" s="16" t="s">
        <v>15</v>
      </c>
      <c r="B20" s="17"/>
    </row>
    <row r="21" spans="1:2" x14ac:dyDescent="0.45">
      <c r="A21" s="12" t="s">
        <v>16</v>
      </c>
      <c r="B21" s="9" t="s">
        <v>17</v>
      </c>
    </row>
    <row r="22" spans="1:2" ht="30" customHeight="1" x14ac:dyDescent="0.45">
      <c r="B22" s="10" t="s">
        <v>18</v>
      </c>
    </row>
    <row r="23" spans="1:2" ht="30" customHeight="1" x14ac:dyDescent="0.45">
      <c r="B23" s="11" t="s">
        <v>19</v>
      </c>
    </row>
    <row r="25" spans="1:2" x14ac:dyDescent="0.45">
      <c r="A25" s="12" t="s">
        <v>20</v>
      </c>
      <c r="B25" s="9" t="s">
        <v>21</v>
      </c>
    </row>
    <row r="26" spans="1:2" ht="30" customHeight="1" x14ac:dyDescent="0.45">
      <c r="B26" s="10" t="s">
        <v>22</v>
      </c>
    </row>
    <row r="27" spans="1:2" ht="30" customHeight="1" x14ac:dyDescent="0.45">
      <c r="B27" s="11" t="s">
        <v>23</v>
      </c>
    </row>
    <row r="29" spans="1:2" x14ac:dyDescent="0.45">
      <c r="A29" s="12" t="s">
        <v>24</v>
      </c>
      <c r="B29" s="9" t="s">
        <v>25</v>
      </c>
    </row>
    <row r="30" spans="1:2" ht="30" customHeight="1" x14ac:dyDescent="0.45">
      <c r="B30" s="10" t="s">
        <v>26</v>
      </c>
    </row>
    <row r="31" spans="1:2" ht="30" customHeight="1" x14ac:dyDescent="0.45">
      <c r="B31" s="11" t="s">
        <v>27</v>
      </c>
    </row>
    <row r="33" spans="1:2" x14ac:dyDescent="0.45">
      <c r="A33" s="12" t="s">
        <v>28</v>
      </c>
      <c r="B33" s="9" t="s">
        <v>29</v>
      </c>
    </row>
    <row r="34" spans="1:2" ht="15" customHeight="1" x14ac:dyDescent="0.45">
      <c r="B34" s="10" t="s">
        <v>30</v>
      </c>
    </row>
    <row r="35" spans="1:2" ht="45" customHeight="1" x14ac:dyDescent="0.45">
      <c r="B35" s="11" t="s">
        <v>31</v>
      </c>
    </row>
    <row r="37" spans="1:2" x14ac:dyDescent="0.45">
      <c r="A37" s="12" t="s">
        <v>32</v>
      </c>
      <c r="B37" s="9" t="s">
        <v>33</v>
      </c>
    </row>
    <row r="38" spans="1:2" ht="30" customHeight="1" x14ac:dyDescent="0.45">
      <c r="B38" s="10" t="s">
        <v>34</v>
      </c>
    </row>
    <row r="39" spans="1:2" ht="30" customHeight="1" x14ac:dyDescent="0.45">
      <c r="B39" s="11" t="s">
        <v>35</v>
      </c>
    </row>
    <row r="41" spans="1:2" ht="16.05" customHeight="1" x14ac:dyDescent="0.45">
      <c r="A41" s="16" t="s">
        <v>36</v>
      </c>
      <c r="B41" s="17"/>
    </row>
    <row r="42" spans="1:2" ht="30" customHeight="1" x14ac:dyDescent="0.45">
      <c r="B42" s="9" t="s">
        <v>37</v>
      </c>
    </row>
    <row r="43" spans="1:2" ht="30" customHeight="1" x14ac:dyDescent="0.45">
      <c r="B43" s="9" t="s">
        <v>38</v>
      </c>
    </row>
    <row r="44" spans="1:2" ht="30" customHeight="1" x14ac:dyDescent="0.45">
      <c r="B44" s="9" t="s">
        <v>39</v>
      </c>
    </row>
    <row r="46" spans="1:2" ht="16.05" customHeight="1" x14ac:dyDescent="0.45">
      <c r="A46" s="16" t="s">
        <v>40</v>
      </c>
      <c r="B46" s="17"/>
    </row>
    <row r="47" spans="1:2" x14ac:dyDescent="0.45">
      <c r="A47" s="13"/>
      <c r="B47" s="9" t="s">
        <v>41</v>
      </c>
    </row>
    <row r="48" spans="1:2" x14ac:dyDescent="0.45">
      <c r="A48" s="14"/>
      <c r="B48" s="9" t="s">
        <v>42</v>
      </c>
    </row>
    <row r="49" spans="1:2" ht="15.75" x14ac:dyDescent="0.5">
      <c r="A49" s="15"/>
      <c r="B49" s="9" t="s">
        <v>43</v>
      </c>
    </row>
    <row r="50" spans="1:2" x14ac:dyDescent="0.45">
      <c r="A50" s="10"/>
      <c r="B50" s="9" t="s">
        <v>44</v>
      </c>
    </row>
  </sheetData>
  <mergeCells count="8">
    <mergeCell ref="A46:B46"/>
    <mergeCell ref="A1:B1"/>
    <mergeCell ref="A9:B9"/>
    <mergeCell ref="A4:B4"/>
    <mergeCell ref="A20:B20"/>
    <mergeCell ref="A2:B2"/>
    <mergeCell ref="A15:B15"/>
    <mergeCell ref="A41:B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E244"/>
  <sheetViews>
    <sheetView showGridLines="0" workbookViewId="0">
      <pane ySplit="4" topLeftCell="A5" activePane="bottomLeft" state="frozen"/>
      <selection pane="bottomLeft"/>
    </sheetView>
  </sheetViews>
  <sheetFormatPr defaultRowHeight="14.25" x14ac:dyDescent="0.45"/>
  <cols>
    <col min="1" max="3" width="14" customWidth="1"/>
    <col min="4" max="4" width="4" customWidth="1"/>
    <col min="5" max="5" width="40" customWidth="1"/>
  </cols>
  <sheetData>
    <row r="1" spans="1:5" ht="26" customHeight="1" x14ac:dyDescent="0.45">
      <c r="A1" s="23" t="s">
        <v>45</v>
      </c>
      <c r="B1" s="21"/>
      <c r="C1" s="21"/>
      <c r="D1" s="21"/>
      <c r="E1" s="21"/>
    </row>
    <row r="2" spans="1:5" ht="18" customHeight="1" x14ac:dyDescent="0.45">
      <c r="A2" s="22" t="s">
        <v>46</v>
      </c>
      <c r="B2" s="21"/>
      <c r="C2" s="21"/>
      <c r="D2" s="21"/>
      <c r="E2" s="21"/>
    </row>
    <row r="4" spans="1:5" x14ac:dyDescent="0.45">
      <c r="A4" s="2" t="s">
        <v>47</v>
      </c>
      <c r="B4" s="2" t="s">
        <v>48</v>
      </c>
      <c r="C4" s="2" t="s">
        <v>49</v>
      </c>
    </row>
    <row r="5" spans="1:5" ht="45" customHeight="1" x14ac:dyDescent="0.45">
      <c r="A5" s="3">
        <v>629.99</v>
      </c>
      <c r="B5" s="4">
        <v>0.94</v>
      </c>
      <c r="C5" s="4">
        <v>95.28</v>
      </c>
      <c r="E5" s="1" t="s">
        <v>50</v>
      </c>
    </row>
    <row r="6" spans="1:5" x14ac:dyDescent="0.45">
      <c r="A6" s="3">
        <v>634.96</v>
      </c>
      <c r="B6" s="4">
        <v>0.95</v>
      </c>
      <c r="C6" s="4">
        <v>98.13</v>
      </c>
    </row>
    <row r="7" spans="1:5" x14ac:dyDescent="0.45">
      <c r="A7" s="3">
        <v>615.55999999999995</v>
      </c>
      <c r="B7" s="4">
        <v>0.88</v>
      </c>
      <c r="C7" s="4">
        <v>92.79</v>
      </c>
    </row>
    <row r="8" spans="1:5" x14ac:dyDescent="0.45">
      <c r="A8" s="3">
        <v>766.37</v>
      </c>
      <c r="B8" s="4">
        <v>1.25</v>
      </c>
      <c r="C8" s="4">
        <v>107.15</v>
      </c>
    </row>
    <row r="9" spans="1:5" x14ac:dyDescent="0.45">
      <c r="A9" s="3">
        <v>740.94</v>
      </c>
      <c r="B9" s="4">
        <v>0.96</v>
      </c>
      <c r="C9" s="4">
        <v>107.86</v>
      </c>
    </row>
    <row r="10" spans="1:5" x14ac:dyDescent="0.45">
      <c r="A10" s="3">
        <v>704.53</v>
      </c>
      <c r="B10" s="4">
        <v>1.0900000000000001</v>
      </c>
      <c r="C10" s="4">
        <v>99.96</v>
      </c>
    </row>
    <row r="11" spans="1:5" x14ac:dyDescent="0.45">
      <c r="A11" s="3">
        <v>612.22</v>
      </c>
      <c r="B11" s="4">
        <v>0.93</v>
      </c>
      <c r="C11" s="4">
        <v>92.29</v>
      </c>
    </row>
    <row r="12" spans="1:5" x14ac:dyDescent="0.45">
      <c r="A12" s="3">
        <v>711.34</v>
      </c>
      <c r="B12" s="4">
        <v>1.05</v>
      </c>
      <c r="C12" s="4">
        <v>109.15</v>
      </c>
    </row>
    <row r="13" spans="1:5" x14ac:dyDescent="0.45">
      <c r="A13" s="3">
        <v>842.07</v>
      </c>
      <c r="B13" s="4">
        <v>1.1599999999999999</v>
      </c>
      <c r="C13" s="4">
        <v>102.94</v>
      </c>
    </row>
    <row r="14" spans="1:5" x14ac:dyDescent="0.45">
      <c r="A14" s="3">
        <v>678.22</v>
      </c>
      <c r="B14" s="4">
        <v>1.1000000000000001</v>
      </c>
      <c r="C14" s="4">
        <v>98.59</v>
      </c>
    </row>
    <row r="15" spans="1:5" x14ac:dyDescent="0.45">
      <c r="A15" s="3">
        <v>663.12</v>
      </c>
      <c r="B15" s="4">
        <v>0.97</v>
      </c>
      <c r="C15" s="4">
        <v>98.03</v>
      </c>
    </row>
    <row r="16" spans="1:5" x14ac:dyDescent="0.45">
      <c r="A16" s="3">
        <v>726.43</v>
      </c>
      <c r="B16" s="4">
        <v>0.95</v>
      </c>
      <c r="C16" s="4">
        <v>95.97</v>
      </c>
    </row>
    <row r="17" spans="1:3" x14ac:dyDescent="0.45">
      <c r="A17" s="3">
        <v>747.94</v>
      </c>
      <c r="B17" s="4">
        <v>1.07</v>
      </c>
      <c r="C17" s="4">
        <v>104.68</v>
      </c>
    </row>
    <row r="18" spans="1:3" x14ac:dyDescent="0.45">
      <c r="A18" s="3">
        <v>747.81</v>
      </c>
      <c r="B18" s="4">
        <v>1.07</v>
      </c>
      <c r="C18" s="4">
        <v>104.8</v>
      </c>
    </row>
    <row r="19" spans="1:3" x14ac:dyDescent="0.45">
      <c r="A19" s="3">
        <v>591.55999999999995</v>
      </c>
      <c r="B19" s="4">
        <v>0.87</v>
      </c>
      <c r="C19" s="4">
        <v>92.15</v>
      </c>
    </row>
    <row r="20" spans="1:3" x14ac:dyDescent="0.45">
      <c r="A20" s="3">
        <v>755.62</v>
      </c>
      <c r="B20" s="4">
        <v>1</v>
      </c>
      <c r="C20" s="4">
        <v>97.19</v>
      </c>
    </row>
    <row r="21" spans="1:3" x14ac:dyDescent="0.45">
      <c r="A21" s="3">
        <v>701.16</v>
      </c>
      <c r="B21" s="4">
        <v>1.0900000000000001</v>
      </c>
      <c r="C21" s="4">
        <v>100.47</v>
      </c>
    </row>
    <row r="22" spans="1:3" x14ac:dyDescent="0.45">
      <c r="A22" s="3">
        <v>738.62</v>
      </c>
      <c r="B22" s="4">
        <v>1.18</v>
      </c>
      <c r="C22" s="4">
        <v>114.52</v>
      </c>
    </row>
    <row r="23" spans="1:3" x14ac:dyDescent="0.45">
      <c r="A23" s="3">
        <v>598.79</v>
      </c>
      <c r="B23" s="4">
        <v>0.82</v>
      </c>
      <c r="C23" s="4">
        <v>90.2</v>
      </c>
    </row>
    <row r="24" spans="1:3" x14ac:dyDescent="0.45">
      <c r="A24" s="3">
        <v>831.54</v>
      </c>
      <c r="B24" s="4">
        <v>1.18</v>
      </c>
      <c r="C24" s="4">
        <v>97.77</v>
      </c>
    </row>
    <row r="25" spans="1:3" x14ac:dyDescent="0.45">
      <c r="A25" s="3">
        <v>877.91</v>
      </c>
      <c r="B25" s="4">
        <v>1.1399999999999999</v>
      </c>
      <c r="C25" s="4">
        <v>110.1</v>
      </c>
    </row>
    <row r="26" spans="1:3" x14ac:dyDescent="0.45">
      <c r="A26" s="3">
        <v>661.02</v>
      </c>
      <c r="B26" s="4">
        <v>0.96</v>
      </c>
      <c r="C26" s="4">
        <v>100.89</v>
      </c>
    </row>
    <row r="27" spans="1:3" x14ac:dyDescent="0.45">
      <c r="A27" s="3">
        <v>637.99</v>
      </c>
      <c r="B27" s="4">
        <v>0.86</v>
      </c>
      <c r="C27" s="4">
        <v>91.82</v>
      </c>
    </row>
    <row r="28" spans="1:3" x14ac:dyDescent="0.45">
      <c r="A28" s="3">
        <v>901.97</v>
      </c>
      <c r="B28" s="4">
        <v>1.18</v>
      </c>
      <c r="C28" s="4">
        <v>109.47</v>
      </c>
    </row>
    <row r="29" spans="1:3" x14ac:dyDescent="0.45">
      <c r="A29" s="3">
        <v>676.81</v>
      </c>
      <c r="B29" s="4">
        <v>0.98</v>
      </c>
      <c r="C29" s="4">
        <v>96.65</v>
      </c>
    </row>
    <row r="30" spans="1:3" x14ac:dyDescent="0.45">
      <c r="A30" s="3">
        <v>600.54</v>
      </c>
      <c r="B30" s="4">
        <v>0.89</v>
      </c>
      <c r="C30" s="4">
        <v>92.61</v>
      </c>
    </row>
    <row r="31" spans="1:3" x14ac:dyDescent="0.45">
      <c r="A31" s="3">
        <v>598.92999999999995</v>
      </c>
      <c r="B31" s="4">
        <v>0.84</v>
      </c>
      <c r="C31" s="4">
        <v>90</v>
      </c>
    </row>
    <row r="32" spans="1:3" x14ac:dyDescent="0.45">
      <c r="A32" s="3">
        <v>688.06</v>
      </c>
      <c r="B32" s="4">
        <v>1.06</v>
      </c>
      <c r="C32" s="4">
        <v>98.38</v>
      </c>
    </row>
    <row r="33" spans="1:3" x14ac:dyDescent="0.45">
      <c r="A33" s="3">
        <v>718.66</v>
      </c>
      <c r="B33" s="4">
        <v>1.1399999999999999</v>
      </c>
      <c r="C33" s="4">
        <v>101.83</v>
      </c>
    </row>
    <row r="34" spans="1:3" x14ac:dyDescent="0.45">
      <c r="A34" s="3">
        <v>605.17999999999995</v>
      </c>
      <c r="B34" s="4">
        <v>0.9</v>
      </c>
      <c r="C34" s="4">
        <v>90.92</v>
      </c>
    </row>
    <row r="35" spans="1:3" x14ac:dyDescent="0.45">
      <c r="A35" s="3">
        <v>712.4</v>
      </c>
      <c r="B35" s="4">
        <v>1.1399999999999999</v>
      </c>
      <c r="C35" s="4">
        <v>104.5</v>
      </c>
    </row>
    <row r="36" spans="1:3" x14ac:dyDescent="0.45">
      <c r="A36" s="3">
        <v>688.37</v>
      </c>
      <c r="B36" s="4">
        <v>1.06</v>
      </c>
      <c r="C36" s="4">
        <v>109.25</v>
      </c>
    </row>
    <row r="37" spans="1:3" x14ac:dyDescent="0.45">
      <c r="A37" s="3">
        <v>607.70000000000005</v>
      </c>
      <c r="B37" s="4">
        <v>0.89</v>
      </c>
      <c r="C37" s="4">
        <v>95.33</v>
      </c>
    </row>
    <row r="38" spans="1:3" x14ac:dyDescent="0.45">
      <c r="A38" s="3">
        <v>677.69</v>
      </c>
      <c r="B38" s="4">
        <v>0.98</v>
      </c>
      <c r="C38" s="4">
        <v>95.43</v>
      </c>
    </row>
    <row r="39" spans="1:3" x14ac:dyDescent="0.45">
      <c r="A39" s="3">
        <v>731.98</v>
      </c>
      <c r="B39" s="4">
        <v>1.07</v>
      </c>
      <c r="C39" s="4">
        <v>99.47</v>
      </c>
    </row>
    <row r="40" spans="1:3" x14ac:dyDescent="0.45">
      <c r="A40" s="3">
        <v>741.28</v>
      </c>
      <c r="B40" s="4">
        <v>0.96</v>
      </c>
      <c r="C40" s="4">
        <v>98.28</v>
      </c>
    </row>
    <row r="41" spans="1:3" x14ac:dyDescent="0.45">
      <c r="A41" s="3">
        <v>699.11</v>
      </c>
      <c r="B41" s="4">
        <v>0.96</v>
      </c>
      <c r="C41" s="4">
        <v>101.29</v>
      </c>
    </row>
    <row r="42" spans="1:3" x14ac:dyDescent="0.45">
      <c r="A42" s="3">
        <v>832.6</v>
      </c>
      <c r="B42" s="4">
        <v>1.05</v>
      </c>
      <c r="C42" s="4">
        <v>104.46</v>
      </c>
    </row>
    <row r="43" spans="1:3" x14ac:dyDescent="0.45">
      <c r="A43" s="3">
        <v>615.07000000000005</v>
      </c>
      <c r="B43" s="4">
        <v>0.9</v>
      </c>
      <c r="C43" s="4">
        <v>93.6</v>
      </c>
    </row>
    <row r="44" spans="1:3" x14ac:dyDescent="0.45">
      <c r="A44" s="3">
        <v>682.32</v>
      </c>
      <c r="B44" s="4">
        <v>0.93</v>
      </c>
      <c r="C44" s="4">
        <v>95.54</v>
      </c>
    </row>
    <row r="45" spans="1:3" x14ac:dyDescent="0.45">
      <c r="A45" s="3">
        <v>748.34</v>
      </c>
      <c r="B45" s="4">
        <v>1.1299999999999999</v>
      </c>
      <c r="C45" s="4">
        <v>107.17</v>
      </c>
    </row>
    <row r="46" spans="1:3" x14ac:dyDescent="0.45">
      <c r="A46" s="3">
        <v>682.08</v>
      </c>
      <c r="B46" s="4">
        <v>1.1399999999999999</v>
      </c>
      <c r="C46" s="4">
        <v>106.73</v>
      </c>
    </row>
    <row r="47" spans="1:3" x14ac:dyDescent="0.45">
      <c r="A47" s="3">
        <v>695.76</v>
      </c>
      <c r="B47" s="4">
        <v>1.1599999999999999</v>
      </c>
      <c r="C47" s="4">
        <v>103.58</v>
      </c>
    </row>
    <row r="48" spans="1:3" x14ac:dyDescent="0.45">
      <c r="A48" s="3">
        <v>658.65</v>
      </c>
      <c r="B48" s="4">
        <v>0.91</v>
      </c>
      <c r="C48" s="4">
        <v>93.74</v>
      </c>
    </row>
    <row r="49" spans="1:3" x14ac:dyDescent="0.45">
      <c r="A49" s="3">
        <v>619.48</v>
      </c>
      <c r="B49" s="4">
        <v>0.92</v>
      </c>
      <c r="C49" s="4">
        <v>92.27</v>
      </c>
    </row>
    <row r="50" spans="1:3" x14ac:dyDescent="0.45">
      <c r="A50" s="3">
        <v>788.56</v>
      </c>
      <c r="B50" s="4">
        <v>1.31</v>
      </c>
      <c r="C50" s="4">
        <v>105.82</v>
      </c>
    </row>
    <row r="51" spans="1:3" x14ac:dyDescent="0.45">
      <c r="A51" s="3">
        <v>737.46</v>
      </c>
      <c r="B51" s="4">
        <v>1.05</v>
      </c>
      <c r="C51" s="4">
        <v>105.42</v>
      </c>
    </row>
    <row r="52" spans="1:3" x14ac:dyDescent="0.45">
      <c r="A52" s="3">
        <v>632.84</v>
      </c>
      <c r="B52" s="4">
        <v>1.05</v>
      </c>
      <c r="C52" s="4">
        <v>94.11</v>
      </c>
    </row>
    <row r="53" spans="1:3" x14ac:dyDescent="0.45">
      <c r="A53" s="3">
        <v>664.69</v>
      </c>
      <c r="B53" s="4">
        <v>0.97</v>
      </c>
      <c r="C53" s="4">
        <v>97.19</v>
      </c>
    </row>
    <row r="54" spans="1:3" x14ac:dyDescent="0.45">
      <c r="A54" s="3">
        <v>602.09</v>
      </c>
      <c r="B54" s="4">
        <v>0.89</v>
      </c>
      <c r="C54" s="4">
        <v>96.22</v>
      </c>
    </row>
    <row r="55" spans="1:3" x14ac:dyDescent="0.45">
      <c r="A55" s="3">
        <v>677.87</v>
      </c>
      <c r="B55" s="4">
        <v>1.07</v>
      </c>
      <c r="C55" s="4">
        <v>97.87</v>
      </c>
    </row>
    <row r="56" spans="1:3" x14ac:dyDescent="0.45">
      <c r="A56" s="3">
        <v>680.87</v>
      </c>
      <c r="B56" s="4">
        <v>1</v>
      </c>
      <c r="C56" s="4">
        <v>97.92</v>
      </c>
    </row>
    <row r="57" spans="1:3" x14ac:dyDescent="0.45">
      <c r="A57" s="3">
        <v>699.01</v>
      </c>
      <c r="B57" s="4">
        <v>1.1000000000000001</v>
      </c>
      <c r="C57" s="4">
        <v>98.15</v>
      </c>
    </row>
    <row r="58" spans="1:3" x14ac:dyDescent="0.45">
      <c r="A58" s="3">
        <v>585.16999999999996</v>
      </c>
      <c r="B58" s="4">
        <v>0.82</v>
      </c>
      <c r="C58" s="4">
        <v>90.61</v>
      </c>
    </row>
    <row r="59" spans="1:3" x14ac:dyDescent="0.45">
      <c r="A59" s="3">
        <v>734.39</v>
      </c>
      <c r="B59" s="4">
        <v>1.18</v>
      </c>
      <c r="C59" s="4">
        <v>100.43</v>
      </c>
    </row>
    <row r="60" spans="1:3" x14ac:dyDescent="0.45">
      <c r="A60" s="3">
        <v>650.73</v>
      </c>
      <c r="B60" s="4">
        <v>1.07</v>
      </c>
      <c r="C60" s="4">
        <v>102.95</v>
      </c>
    </row>
    <row r="61" spans="1:3" x14ac:dyDescent="0.45">
      <c r="A61" s="3">
        <v>675.27</v>
      </c>
      <c r="B61" s="4">
        <v>1</v>
      </c>
      <c r="C61" s="4">
        <v>95.72</v>
      </c>
    </row>
    <row r="62" spans="1:3" x14ac:dyDescent="0.45">
      <c r="A62" s="3">
        <v>683.04</v>
      </c>
      <c r="B62" s="4">
        <v>1.01</v>
      </c>
      <c r="C62" s="4">
        <v>96.34</v>
      </c>
    </row>
    <row r="63" spans="1:3" x14ac:dyDescent="0.45">
      <c r="A63" s="3">
        <v>671.8</v>
      </c>
      <c r="B63" s="4">
        <v>0.91</v>
      </c>
      <c r="C63" s="4">
        <v>97.74</v>
      </c>
    </row>
    <row r="64" spans="1:3" x14ac:dyDescent="0.45">
      <c r="A64" s="3">
        <v>754.27</v>
      </c>
      <c r="B64" s="4">
        <v>1.46</v>
      </c>
      <c r="C64" s="4">
        <v>103.21</v>
      </c>
    </row>
    <row r="65" spans="1:3" x14ac:dyDescent="0.45">
      <c r="A65" s="3">
        <v>686.83</v>
      </c>
      <c r="B65" s="4">
        <v>1.02</v>
      </c>
      <c r="C65" s="4">
        <v>101.17</v>
      </c>
    </row>
    <row r="66" spans="1:3" x14ac:dyDescent="0.45">
      <c r="A66" s="3">
        <v>717.96</v>
      </c>
      <c r="B66" s="4">
        <v>1.1100000000000001</v>
      </c>
      <c r="C66" s="4">
        <v>103.89</v>
      </c>
    </row>
    <row r="67" spans="1:3" x14ac:dyDescent="0.45">
      <c r="A67" s="3">
        <v>620.55999999999995</v>
      </c>
      <c r="B67" s="4">
        <v>0.93</v>
      </c>
      <c r="C67" s="4">
        <v>91.18</v>
      </c>
    </row>
    <row r="68" spans="1:3" x14ac:dyDescent="0.45">
      <c r="A68" s="3">
        <v>584.54</v>
      </c>
      <c r="B68" s="4">
        <v>0.9</v>
      </c>
      <c r="C68" s="4">
        <v>90.71</v>
      </c>
    </row>
    <row r="69" spans="1:3" x14ac:dyDescent="0.45">
      <c r="A69" s="3">
        <v>688.84</v>
      </c>
      <c r="B69" s="4">
        <v>1.17</v>
      </c>
      <c r="C69" s="4">
        <v>104.48</v>
      </c>
    </row>
    <row r="70" spans="1:3" x14ac:dyDescent="0.45">
      <c r="A70" s="3">
        <v>711.73</v>
      </c>
      <c r="B70" s="4">
        <v>1.1100000000000001</v>
      </c>
      <c r="C70" s="4">
        <v>105.24</v>
      </c>
    </row>
    <row r="71" spans="1:3" x14ac:dyDescent="0.45">
      <c r="A71" s="3">
        <v>718.34</v>
      </c>
      <c r="B71" s="4">
        <v>1.02</v>
      </c>
      <c r="C71" s="4">
        <v>105.65</v>
      </c>
    </row>
    <row r="72" spans="1:3" x14ac:dyDescent="0.45">
      <c r="A72" s="3">
        <v>632.74</v>
      </c>
      <c r="B72" s="4">
        <v>0.95</v>
      </c>
      <c r="C72" s="4">
        <v>95.66</v>
      </c>
    </row>
    <row r="73" spans="1:3" x14ac:dyDescent="0.45">
      <c r="A73" s="3">
        <v>717.7</v>
      </c>
      <c r="B73" s="4">
        <v>1.04</v>
      </c>
      <c r="C73" s="4">
        <v>101.72</v>
      </c>
    </row>
    <row r="74" spans="1:3" x14ac:dyDescent="0.45">
      <c r="A74" s="3">
        <v>703.49</v>
      </c>
      <c r="B74" s="4">
        <v>1.02</v>
      </c>
      <c r="C74" s="4">
        <v>97.7</v>
      </c>
    </row>
    <row r="75" spans="1:3" x14ac:dyDescent="0.45">
      <c r="A75" s="3">
        <v>637.29</v>
      </c>
      <c r="B75" s="4">
        <v>1</v>
      </c>
      <c r="C75" s="4">
        <v>98.12</v>
      </c>
    </row>
    <row r="76" spans="1:3" x14ac:dyDescent="0.45">
      <c r="A76" s="3">
        <v>648.72</v>
      </c>
      <c r="B76" s="4">
        <v>1.01</v>
      </c>
      <c r="C76" s="4">
        <v>99.55</v>
      </c>
    </row>
    <row r="77" spans="1:3" x14ac:dyDescent="0.45">
      <c r="A77" s="3">
        <v>652.34</v>
      </c>
      <c r="B77" s="4">
        <v>0.97</v>
      </c>
      <c r="C77" s="4">
        <v>96.11</v>
      </c>
    </row>
    <row r="78" spans="1:3" x14ac:dyDescent="0.45">
      <c r="A78" s="3">
        <v>663.15</v>
      </c>
      <c r="B78" s="4">
        <v>1</v>
      </c>
      <c r="C78" s="4">
        <v>99.07</v>
      </c>
    </row>
    <row r="79" spans="1:3" x14ac:dyDescent="0.45">
      <c r="A79" s="3">
        <v>724.8</v>
      </c>
      <c r="B79" s="4">
        <v>1.1100000000000001</v>
      </c>
      <c r="C79" s="4">
        <v>100.65</v>
      </c>
    </row>
    <row r="80" spans="1:3" x14ac:dyDescent="0.45">
      <c r="A80" s="3">
        <v>711.66</v>
      </c>
      <c r="B80" s="4">
        <v>0.96</v>
      </c>
      <c r="C80" s="4">
        <v>101.48</v>
      </c>
    </row>
    <row r="81" spans="1:3" x14ac:dyDescent="0.45">
      <c r="A81" s="3">
        <v>634.11</v>
      </c>
      <c r="B81" s="4">
        <v>0.9</v>
      </c>
      <c r="C81" s="4">
        <v>92.53</v>
      </c>
    </row>
    <row r="82" spans="1:3" x14ac:dyDescent="0.45">
      <c r="A82" s="3">
        <v>622.29</v>
      </c>
      <c r="B82" s="4">
        <v>1.06</v>
      </c>
      <c r="C82" s="4">
        <v>93.48</v>
      </c>
    </row>
    <row r="83" spans="1:3" x14ac:dyDescent="0.45">
      <c r="A83" s="3">
        <v>690.5</v>
      </c>
      <c r="B83" s="4">
        <v>1.1299999999999999</v>
      </c>
      <c r="C83" s="4">
        <v>108.08</v>
      </c>
    </row>
    <row r="84" spans="1:3" x14ac:dyDescent="0.45">
      <c r="A84" s="3">
        <v>721.87</v>
      </c>
      <c r="B84" s="4">
        <v>1.1399999999999999</v>
      </c>
      <c r="C84" s="4">
        <v>109.75</v>
      </c>
    </row>
    <row r="85" spans="1:3" x14ac:dyDescent="0.45">
      <c r="A85" s="3">
        <v>665.71</v>
      </c>
      <c r="B85" s="4">
        <v>1</v>
      </c>
      <c r="C85" s="4">
        <v>102</v>
      </c>
    </row>
    <row r="86" spans="1:3" x14ac:dyDescent="0.45">
      <c r="A86" s="3">
        <v>667.35</v>
      </c>
      <c r="B86" s="4">
        <v>1.1399999999999999</v>
      </c>
      <c r="C86" s="4">
        <v>100.16</v>
      </c>
    </row>
    <row r="87" spans="1:3" x14ac:dyDescent="0.45">
      <c r="A87" s="3">
        <v>790</v>
      </c>
      <c r="B87" s="4">
        <v>1.29</v>
      </c>
      <c r="C87" s="4">
        <v>105.43</v>
      </c>
    </row>
    <row r="88" spans="1:3" x14ac:dyDescent="0.45">
      <c r="A88" s="3">
        <v>693.83</v>
      </c>
      <c r="B88" s="4">
        <v>1.1599999999999999</v>
      </c>
      <c r="C88" s="4">
        <v>103.63</v>
      </c>
    </row>
    <row r="89" spans="1:3" x14ac:dyDescent="0.45">
      <c r="A89" s="3">
        <v>720.38</v>
      </c>
      <c r="B89" s="4">
        <v>1.27</v>
      </c>
      <c r="C89" s="4">
        <v>104.98</v>
      </c>
    </row>
    <row r="90" spans="1:3" x14ac:dyDescent="0.45">
      <c r="A90" s="3">
        <v>731.23</v>
      </c>
      <c r="B90" s="4">
        <v>1.1299999999999999</v>
      </c>
      <c r="C90" s="4">
        <v>102.23</v>
      </c>
    </row>
    <row r="91" spans="1:3" x14ac:dyDescent="0.45">
      <c r="A91" s="3">
        <v>739.68</v>
      </c>
      <c r="B91" s="4">
        <v>1.1499999999999999</v>
      </c>
      <c r="C91" s="4">
        <v>111.25</v>
      </c>
    </row>
    <row r="92" spans="1:3" x14ac:dyDescent="0.45">
      <c r="A92" s="3">
        <v>702.95</v>
      </c>
      <c r="B92" s="4">
        <v>1.04</v>
      </c>
      <c r="C92" s="4">
        <v>98.9</v>
      </c>
    </row>
    <row r="93" spans="1:3" x14ac:dyDescent="0.45">
      <c r="A93" s="3">
        <v>667.11</v>
      </c>
      <c r="B93" s="4">
        <v>0.89</v>
      </c>
      <c r="C93" s="4">
        <v>95.67</v>
      </c>
    </row>
    <row r="94" spans="1:3" x14ac:dyDescent="0.45">
      <c r="A94" s="3">
        <v>681.04</v>
      </c>
      <c r="B94" s="4">
        <v>1.1399999999999999</v>
      </c>
      <c r="C94" s="4">
        <v>97.38</v>
      </c>
    </row>
    <row r="95" spans="1:3" x14ac:dyDescent="0.45">
      <c r="A95" s="3">
        <v>666.9</v>
      </c>
      <c r="B95" s="4">
        <v>1.06</v>
      </c>
      <c r="C95" s="4">
        <v>97.63</v>
      </c>
    </row>
    <row r="96" spans="1:3" x14ac:dyDescent="0.45">
      <c r="A96" s="3">
        <v>637.97</v>
      </c>
      <c r="B96" s="4">
        <v>1.0900000000000001</v>
      </c>
      <c r="C96" s="4">
        <v>100.47</v>
      </c>
    </row>
    <row r="97" spans="1:3" x14ac:dyDescent="0.45">
      <c r="A97" s="3">
        <v>695.83</v>
      </c>
      <c r="B97" s="4">
        <v>1.01</v>
      </c>
      <c r="C97" s="4">
        <v>97.9</v>
      </c>
    </row>
    <row r="98" spans="1:3" x14ac:dyDescent="0.45">
      <c r="A98" s="3">
        <v>836.82</v>
      </c>
      <c r="B98" s="4">
        <v>1.17</v>
      </c>
      <c r="C98" s="4">
        <v>100.94</v>
      </c>
    </row>
    <row r="99" spans="1:3" x14ac:dyDescent="0.45">
      <c r="A99" s="3">
        <v>747.99</v>
      </c>
      <c r="B99" s="4">
        <v>0.92</v>
      </c>
      <c r="C99" s="4">
        <v>100.51</v>
      </c>
    </row>
    <row r="100" spans="1:3" x14ac:dyDescent="0.45">
      <c r="A100" s="3">
        <v>612.33000000000004</v>
      </c>
      <c r="B100" s="4">
        <v>0.98</v>
      </c>
      <c r="C100" s="4">
        <v>93.15</v>
      </c>
    </row>
    <row r="101" spans="1:3" x14ac:dyDescent="0.45">
      <c r="A101" s="3">
        <v>647.91999999999996</v>
      </c>
      <c r="B101" s="4">
        <v>1.21</v>
      </c>
      <c r="C101" s="4">
        <v>94.19</v>
      </c>
    </row>
    <row r="102" spans="1:3" x14ac:dyDescent="0.45">
      <c r="A102" s="3">
        <v>668.5</v>
      </c>
      <c r="B102" s="4">
        <v>0.91</v>
      </c>
      <c r="C102" s="4">
        <v>97.85</v>
      </c>
    </row>
    <row r="103" spans="1:3" x14ac:dyDescent="0.45">
      <c r="A103" s="3">
        <v>637.34</v>
      </c>
      <c r="B103" s="4">
        <v>0.96</v>
      </c>
      <c r="C103" s="4">
        <v>107.37</v>
      </c>
    </row>
    <row r="104" spans="1:3" x14ac:dyDescent="0.45">
      <c r="A104" s="3">
        <v>754.73</v>
      </c>
      <c r="B104" s="4">
        <v>1.52</v>
      </c>
      <c r="C104" s="4">
        <v>111.86</v>
      </c>
    </row>
    <row r="105" spans="1:3" x14ac:dyDescent="0.45">
      <c r="A105" s="3">
        <v>672.65</v>
      </c>
      <c r="B105" s="4">
        <v>1.24</v>
      </c>
      <c r="C105" s="4">
        <v>97.31</v>
      </c>
    </row>
    <row r="106" spans="1:3" x14ac:dyDescent="0.45">
      <c r="A106" s="3">
        <v>631.80999999999995</v>
      </c>
      <c r="B106" s="4">
        <v>0.97</v>
      </c>
      <c r="C106" s="4">
        <v>93.44</v>
      </c>
    </row>
    <row r="107" spans="1:3" x14ac:dyDescent="0.45">
      <c r="A107" s="3">
        <v>586.41999999999996</v>
      </c>
      <c r="B107" s="4">
        <v>0.85</v>
      </c>
      <c r="C107" s="4">
        <v>90.93</v>
      </c>
    </row>
    <row r="108" spans="1:3" x14ac:dyDescent="0.45">
      <c r="A108" s="3">
        <v>636.54</v>
      </c>
      <c r="B108" s="4">
        <v>0.94</v>
      </c>
      <c r="C108" s="4">
        <v>96.82</v>
      </c>
    </row>
    <row r="109" spans="1:3" x14ac:dyDescent="0.45">
      <c r="A109" s="3">
        <v>619.33000000000004</v>
      </c>
      <c r="B109" s="4">
        <v>0.85</v>
      </c>
      <c r="C109" s="4">
        <v>92.59</v>
      </c>
    </row>
    <row r="110" spans="1:3" x14ac:dyDescent="0.45">
      <c r="A110" s="3">
        <v>794.97</v>
      </c>
      <c r="B110" s="4">
        <v>1.35</v>
      </c>
      <c r="C110" s="4">
        <v>110.4</v>
      </c>
    </row>
    <row r="111" spans="1:3" x14ac:dyDescent="0.45">
      <c r="A111" s="3">
        <v>710.72</v>
      </c>
      <c r="B111" s="4">
        <v>1.0900000000000001</v>
      </c>
      <c r="C111" s="4">
        <v>96.54</v>
      </c>
    </row>
    <row r="112" spans="1:3" x14ac:dyDescent="0.45">
      <c r="A112" s="3">
        <v>760.08</v>
      </c>
      <c r="B112" s="4">
        <v>1.19</v>
      </c>
      <c r="C112" s="4">
        <v>103.25</v>
      </c>
    </row>
    <row r="113" spans="1:3" x14ac:dyDescent="0.45">
      <c r="A113" s="3">
        <v>730.26</v>
      </c>
      <c r="B113" s="4">
        <v>1.19</v>
      </c>
      <c r="C113" s="4">
        <v>102.34</v>
      </c>
    </row>
    <row r="114" spans="1:3" x14ac:dyDescent="0.45">
      <c r="A114" s="3">
        <v>620.39</v>
      </c>
      <c r="B114" s="4">
        <v>1.03</v>
      </c>
      <c r="C114" s="4">
        <v>96.37</v>
      </c>
    </row>
    <row r="115" spans="1:3" x14ac:dyDescent="0.45">
      <c r="A115" s="3">
        <v>621.87</v>
      </c>
      <c r="B115" s="4">
        <v>0.89</v>
      </c>
      <c r="C115" s="4">
        <v>94.82</v>
      </c>
    </row>
    <row r="116" spans="1:3" x14ac:dyDescent="0.45">
      <c r="A116" s="3">
        <v>804.64</v>
      </c>
      <c r="B116" s="4">
        <v>1.26</v>
      </c>
      <c r="C116" s="4">
        <v>104.53</v>
      </c>
    </row>
    <row r="117" spans="1:3" x14ac:dyDescent="0.45">
      <c r="A117" s="3">
        <v>730.16</v>
      </c>
      <c r="B117" s="4">
        <v>1.01</v>
      </c>
      <c r="C117" s="4">
        <v>101.34</v>
      </c>
    </row>
    <row r="118" spans="1:3" x14ac:dyDescent="0.45">
      <c r="A118" s="3">
        <v>860.16</v>
      </c>
      <c r="B118" s="4">
        <v>1.1499999999999999</v>
      </c>
      <c r="C118" s="4">
        <v>113.15</v>
      </c>
    </row>
    <row r="119" spans="1:3" x14ac:dyDescent="0.45">
      <c r="A119" s="3">
        <v>775.47</v>
      </c>
      <c r="B119" s="4">
        <v>1.1299999999999999</v>
      </c>
      <c r="C119" s="4">
        <v>113.99</v>
      </c>
    </row>
    <row r="120" spans="1:3" x14ac:dyDescent="0.45">
      <c r="A120" s="3">
        <v>752.23</v>
      </c>
      <c r="B120" s="4">
        <v>1.04</v>
      </c>
      <c r="C120" s="4">
        <v>99.55</v>
      </c>
    </row>
    <row r="121" spans="1:3" x14ac:dyDescent="0.45">
      <c r="A121" s="3">
        <v>623.67999999999995</v>
      </c>
      <c r="B121" s="4">
        <v>0.96</v>
      </c>
      <c r="C121" s="4">
        <v>97.38</v>
      </c>
    </row>
    <row r="122" spans="1:3" x14ac:dyDescent="0.45">
      <c r="A122" s="3">
        <v>738.57</v>
      </c>
      <c r="B122" s="4">
        <v>1.01</v>
      </c>
      <c r="C122" s="4">
        <v>106.77</v>
      </c>
    </row>
    <row r="123" spans="1:3" x14ac:dyDescent="0.45">
      <c r="A123" s="3">
        <v>689.95</v>
      </c>
      <c r="B123" s="4">
        <v>1.1200000000000001</v>
      </c>
      <c r="C123" s="4">
        <v>109.4</v>
      </c>
    </row>
    <row r="124" spans="1:3" x14ac:dyDescent="0.45">
      <c r="A124" s="3">
        <v>698.67</v>
      </c>
      <c r="B124" s="4">
        <v>0.99</v>
      </c>
      <c r="C124" s="4">
        <v>99.48</v>
      </c>
    </row>
    <row r="125" spans="1:3" x14ac:dyDescent="0.45">
      <c r="A125" s="3">
        <v>791.1</v>
      </c>
      <c r="B125" s="4">
        <v>1.27</v>
      </c>
      <c r="C125" s="4">
        <v>104.61</v>
      </c>
    </row>
    <row r="126" spans="1:3" x14ac:dyDescent="0.45">
      <c r="A126" s="3">
        <v>664.86</v>
      </c>
      <c r="B126" s="4">
        <v>0.96</v>
      </c>
      <c r="C126" s="4">
        <v>98.32</v>
      </c>
    </row>
    <row r="127" spans="1:3" x14ac:dyDescent="0.45">
      <c r="A127" s="3">
        <v>700.6</v>
      </c>
      <c r="B127" s="4">
        <v>1.03</v>
      </c>
      <c r="C127" s="4">
        <v>100.76</v>
      </c>
    </row>
    <row r="128" spans="1:3" x14ac:dyDescent="0.45">
      <c r="A128" s="3">
        <v>709.29</v>
      </c>
      <c r="B128" s="4">
        <v>0.99</v>
      </c>
      <c r="C128" s="4">
        <v>98.59</v>
      </c>
    </row>
    <row r="129" spans="1:3" x14ac:dyDescent="0.45">
      <c r="A129" s="3">
        <v>702.56</v>
      </c>
      <c r="B129" s="4">
        <v>1.08</v>
      </c>
      <c r="C129" s="4">
        <v>104.48</v>
      </c>
    </row>
    <row r="130" spans="1:3" x14ac:dyDescent="0.45">
      <c r="A130" s="3">
        <v>766.81</v>
      </c>
      <c r="B130" s="4">
        <v>1.28</v>
      </c>
      <c r="C130" s="4">
        <v>108.59</v>
      </c>
    </row>
    <row r="131" spans="1:3" x14ac:dyDescent="0.45">
      <c r="A131" s="3">
        <v>706.98</v>
      </c>
      <c r="B131" s="4">
        <v>1.21</v>
      </c>
      <c r="C131" s="4">
        <v>106.64</v>
      </c>
    </row>
    <row r="132" spans="1:3" x14ac:dyDescent="0.45">
      <c r="A132" s="3">
        <v>685.72</v>
      </c>
      <c r="B132" s="4">
        <v>1.1200000000000001</v>
      </c>
      <c r="C132" s="4">
        <v>102.44</v>
      </c>
    </row>
    <row r="133" spans="1:3" x14ac:dyDescent="0.45">
      <c r="A133" s="3">
        <v>804.64</v>
      </c>
      <c r="B133" s="4">
        <v>1.18</v>
      </c>
      <c r="C133" s="4">
        <v>101.46</v>
      </c>
    </row>
    <row r="134" spans="1:3" x14ac:dyDescent="0.45">
      <c r="A134" s="3">
        <v>635.98</v>
      </c>
      <c r="B134" s="4">
        <v>0.85</v>
      </c>
      <c r="C134" s="4">
        <v>88.53</v>
      </c>
    </row>
    <row r="135" spans="1:3" x14ac:dyDescent="0.45">
      <c r="A135" s="3">
        <v>721.08</v>
      </c>
      <c r="B135" s="4">
        <v>1.0900000000000001</v>
      </c>
      <c r="C135" s="4">
        <v>102.54</v>
      </c>
    </row>
    <row r="136" spans="1:3" x14ac:dyDescent="0.45">
      <c r="A136" s="3">
        <v>736.8</v>
      </c>
      <c r="B136" s="4">
        <v>0.98</v>
      </c>
      <c r="C136" s="4">
        <v>103.17</v>
      </c>
    </row>
    <row r="137" spans="1:3" x14ac:dyDescent="0.45">
      <c r="A137" s="3">
        <v>776.82</v>
      </c>
      <c r="B137" s="4">
        <v>1.19</v>
      </c>
      <c r="C137" s="4">
        <v>103.26</v>
      </c>
    </row>
    <row r="138" spans="1:3" x14ac:dyDescent="0.45">
      <c r="A138" s="3">
        <v>733.59</v>
      </c>
      <c r="B138" s="4">
        <v>1.1499999999999999</v>
      </c>
      <c r="C138" s="4">
        <v>109.44</v>
      </c>
    </row>
    <row r="139" spans="1:3" x14ac:dyDescent="0.45">
      <c r="A139" s="3">
        <v>722.94</v>
      </c>
      <c r="B139" s="4">
        <v>1.17</v>
      </c>
      <c r="C139" s="4">
        <v>105.74</v>
      </c>
    </row>
    <row r="140" spans="1:3" x14ac:dyDescent="0.45">
      <c r="A140" s="3">
        <v>590.37</v>
      </c>
      <c r="B140" s="4">
        <v>0.81</v>
      </c>
      <c r="C140" s="4">
        <v>91.31</v>
      </c>
    </row>
    <row r="141" spans="1:3" x14ac:dyDescent="0.45">
      <c r="A141" s="3">
        <v>620.66</v>
      </c>
      <c r="B141" s="4">
        <v>0.92</v>
      </c>
      <c r="C141" s="4">
        <v>108.5</v>
      </c>
    </row>
    <row r="142" spans="1:3" x14ac:dyDescent="0.45">
      <c r="A142" s="3">
        <v>773.78</v>
      </c>
      <c r="B142" s="4">
        <v>0.96</v>
      </c>
      <c r="C142" s="4">
        <v>100.51</v>
      </c>
    </row>
    <row r="143" spans="1:3" x14ac:dyDescent="0.45">
      <c r="A143" s="3">
        <v>755.07</v>
      </c>
      <c r="B143" s="4">
        <v>1.1499999999999999</v>
      </c>
      <c r="C143" s="4">
        <v>111.26</v>
      </c>
    </row>
    <row r="144" spans="1:3" x14ac:dyDescent="0.45">
      <c r="A144" s="3">
        <v>665.8</v>
      </c>
      <c r="B144" s="4">
        <v>0.99</v>
      </c>
      <c r="C144" s="4">
        <v>104.5</v>
      </c>
    </row>
    <row r="145" spans="1:3" x14ac:dyDescent="0.45">
      <c r="A145" s="3">
        <v>534.79</v>
      </c>
      <c r="B145" s="4">
        <v>0.75</v>
      </c>
      <c r="C145" s="4">
        <v>85.67</v>
      </c>
    </row>
    <row r="146" spans="1:3" x14ac:dyDescent="0.45">
      <c r="A146" s="3">
        <v>653.1</v>
      </c>
      <c r="B146" s="4">
        <v>1.04</v>
      </c>
      <c r="C146" s="4">
        <v>101.58</v>
      </c>
    </row>
    <row r="147" spans="1:3" x14ac:dyDescent="0.45">
      <c r="A147" s="3">
        <v>625.55999999999995</v>
      </c>
      <c r="B147" s="4">
        <v>0.85</v>
      </c>
      <c r="C147" s="4">
        <v>89.9</v>
      </c>
    </row>
    <row r="148" spans="1:3" x14ac:dyDescent="0.45">
      <c r="A148" s="3">
        <v>702.82</v>
      </c>
      <c r="B148" s="4">
        <v>1.07</v>
      </c>
      <c r="C148" s="4">
        <v>97.91</v>
      </c>
    </row>
    <row r="149" spans="1:3" x14ac:dyDescent="0.45">
      <c r="A149" s="3">
        <v>750.19</v>
      </c>
      <c r="B149" s="4">
        <v>1.21</v>
      </c>
      <c r="C149" s="4">
        <v>114.84</v>
      </c>
    </row>
    <row r="150" spans="1:3" x14ac:dyDescent="0.45">
      <c r="A150" s="3">
        <v>676.29</v>
      </c>
      <c r="B150" s="4">
        <v>1.1000000000000001</v>
      </c>
      <c r="C150" s="4">
        <v>100.45</v>
      </c>
    </row>
    <row r="151" spans="1:3" x14ac:dyDescent="0.45">
      <c r="A151" s="3">
        <v>650.41</v>
      </c>
      <c r="B151" s="4">
        <v>0.94</v>
      </c>
      <c r="C151" s="4">
        <v>95.41</v>
      </c>
    </row>
    <row r="152" spans="1:3" x14ac:dyDescent="0.45">
      <c r="A152" s="3">
        <v>754.97</v>
      </c>
      <c r="B152" s="4">
        <v>1.17</v>
      </c>
      <c r="C152" s="4">
        <v>100.63</v>
      </c>
    </row>
    <row r="153" spans="1:3" x14ac:dyDescent="0.45">
      <c r="A153" s="3">
        <v>729.56</v>
      </c>
      <c r="B153" s="4">
        <v>1.27</v>
      </c>
      <c r="C153" s="4">
        <v>106.48</v>
      </c>
    </row>
    <row r="154" spans="1:3" x14ac:dyDescent="0.45">
      <c r="A154" s="3">
        <v>662.55</v>
      </c>
      <c r="B154" s="4">
        <v>0.98</v>
      </c>
      <c r="C154" s="4">
        <v>91.89</v>
      </c>
    </row>
    <row r="155" spans="1:3" x14ac:dyDescent="0.45">
      <c r="A155" s="3">
        <v>635.71</v>
      </c>
      <c r="B155" s="4">
        <v>0.9</v>
      </c>
      <c r="C155" s="4">
        <v>98.76</v>
      </c>
    </row>
    <row r="156" spans="1:3" x14ac:dyDescent="0.45">
      <c r="A156" s="3">
        <v>784.49</v>
      </c>
      <c r="B156" s="4">
        <v>1.1000000000000001</v>
      </c>
      <c r="C156" s="4">
        <v>101.33</v>
      </c>
    </row>
    <row r="157" spans="1:3" x14ac:dyDescent="0.45">
      <c r="A157" s="3">
        <v>657.27</v>
      </c>
      <c r="B157" s="4">
        <v>1.03</v>
      </c>
      <c r="C157" s="4">
        <v>103.46</v>
      </c>
    </row>
    <row r="158" spans="1:3" x14ac:dyDescent="0.45">
      <c r="A158" s="3">
        <v>599.03</v>
      </c>
      <c r="B158" s="4">
        <v>0.9</v>
      </c>
      <c r="C158" s="4">
        <v>96.03</v>
      </c>
    </row>
    <row r="159" spans="1:3" x14ac:dyDescent="0.45">
      <c r="A159" s="3">
        <v>584.07000000000005</v>
      </c>
      <c r="B159" s="4">
        <v>0.84</v>
      </c>
      <c r="C159" s="4">
        <v>92.35</v>
      </c>
    </row>
    <row r="160" spans="1:3" x14ac:dyDescent="0.45">
      <c r="A160" s="3">
        <v>729.29</v>
      </c>
      <c r="B160" s="4">
        <v>1.17</v>
      </c>
      <c r="C160" s="4">
        <v>102.85</v>
      </c>
    </row>
    <row r="161" spans="1:3" x14ac:dyDescent="0.45">
      <c r="A161" s="3">
        <v>676.09</v>
      </c>
      <c r="B161" s="4">
        <v>1.02</v>
      </c>
      <c r="C161" s="4">
        <v>100.62</v>
      </c>
    </row>
    <row r="162" spans="1:3" x14ac:dyDescent="0.45">
      <c r="A162" s="3">
        <v>743.74</v>
      </c>
      <c r="B162" s="4">
        <v>1.33</v>
      </c>
      <c r="C162" s="4">
        <v>109.99</v>
      </c>
    </row>
    <row r="163" spans="1:3" x14ac:dyDescent="0.45">
      <c r="A163" s="3">
        <v>606.6</v>
      </c>
      <c r="B163" s="4">
        <v>0.81</v>
      </c>
      <c r="C163" s="4">
        <v>91.22</v>
      </c>
    </row>
    <row r="164" spans="1:3" x14ac:dyDescent="0.45">
      <c r="A164" s="3">
        <v>578.22</v>
      </c>
      <c r="B164" s="4">
        <v>0.83</v>
      </c>
      <c r="C164" s="4">
        <v>88.61</v>
      </c>
    </row>
    <row r="165" spans="1:3" x14ac:dyDescent="0.45">
      <c r="A165" s="3">
        <v>635.63</v>
      </c>
      <c r="B165" s="4">
        <v>0.92</v>
      </c>
      <c r="C165" s="4">
        <v>91.31</v>
      </c>
    </row>
    <row r="166" spans="1:3" x14ac:dyDescent="0.45">
      <c r="A166" s="3">
        <v>646.04999999999995</v>
      </c>
      <c r="B166" s="4">
        <v>1.03</v>
      </c>
      <c r="C166" s="4">
        <v>100.66</v>
      </c>
    </row>
    <row r="167" spans="1:3" x14ac:dyDescent="0.45">
      <c r="A167" s="3">
        <v>757.77</v>
      </c>
      <c r="B167" s="4">
        <v>1.1399999999999999</v>
      </c>
      <c r="C167" s="4">
        <v>102.89</v>
      </c>
    </row>
    <row r="168" spans="1:3" x14ac:dyDescent="0.45">
      <c r="A168" s="3">
        <v>655.76</v>
      </c>
      <c r="B168" s="4">
        <v>0.94</v>
      </c>
      <c r="C168" s="4">
        <v>94.01</v>
      </c>
    </row>
    <row r="169" spans="1:3" x14ac:dyDescent="0.45">
      <c r="A169" s="3">
        <v>692.33</v>
      </c>
      <c r="B169" s="4">
        <v>0.97</v>
      </c>
      <c r="C169" s="4">
        <v>98.06</v>
      </c>
    </row>
    <row r="170" spans="1:3" x14ac:dyDescent="0.45">
      <c r="A170" s="3">
        <v>806.76</v>
      </c>
      <c r="B170" s="4">
        <v>1.1599999999999999</v>
      </c>
      <c r="C170" s="4">
        <v>103.78</v>
      </c>
    </row>
    <row r="171" spans="1:3" x14ac:dyDescent="0.45">
      <c r="A171" s="3">
        <v>679.8</v>
      </c>
      <c r="B171" s="4">
        <v>0.99</v>
      </c>
      <c r="C171" s="4">
        <v>96.65</v>
      </c>
    </row>
    <row r="172" spans="1:3" x14ac:dyDescent="0.45">
      <c r="A172" s="3">
        <v>726.74</v>
      </c>
      <c r="B172" s="4">
        <v>1.07</v>
      </c>
      <c r="C172" s="4">
        <v>109.04</v>
      </c>
    </row>
    <row r="173" spans="1:3" x14ac:dyDescent="0.45">
      <c r="A173" s="3">
        <v>695.47</v>
      </c>
      <c r="B173" s="4">
        <v>1.24</v>
      </c>
      <c r="C173" s="4">
        <v>99.97</v>
      </c>
    </row>
    <row r="174" spans="1:3" x14ac:dyDescent="0.45">
      <c r="A174" s="3">
        <v>701.29</v>
      </c>
      <c r="B174" s="4">
        <v>1.02</v>
      </c>
      <c r="C174" s="4">
        <v>93.88</v>
      </c>
    </row>
    <row r="175" spans="1:3" x14ac:dyDescent="0.45">
      <c r="A175" s="3">
        <v>768.9</v>
      </c>
      <c r="B175" s="4">
        <v>1.08</v>
      </c>
      <c r="C175" s="4">
        <v>101.68</v>
      </c>
    </row>
    <row r="176" spans="1:3" x14ac:dyDescent="0.45">
      <c r="A176" s="3">
        <v>789.37</v>
      </c>
      <c r="B176" s="4">
        <v>1.1499999999999999</v>
      </c>
      <c r="C176" s="4">
        <v>102.97</v>
      </c>
    </row>
    <row r="177" spans="1:3" x14ac:dyDescent="0.45">
      <c r="A177" s="3">
        <v>617.84</v>
      </c>
      <c r="B177" s="4">
        <v>1.03</v>
      </c>
      <c r="C177" s="4">
        <v>98.27</v>
      </c>
    </row>
    <row r="178" spans="1:3" x14ac:dyDescent="0.45">
      <c r="A178" s="3">
        <v>723.78</v>
      </c>
      <c r="B178" s="4">
        <v>1.06</v>
      </c>
      <c r="C178" s="4">
        <v>104.75</v>
      </c>
    </row>
    <row r="179" spans="1:3" x14ac:dyDescent="0.45">
      <c r="A179" s="3">
        <v>794.82</v>
      </c>
      <c r="B179" s="4">
        <v>1.24</v>
      </c>
      <c r="C179" s="4">
        <v>99.69</v>
      </c>
    </row>
    <row r="180" spans="1:3" x14ac:dyDescent="0.45">
      <c r="A180" s="3">
        <v>659.34</v>
      </c>
      <c r="B180" s="4">
        <v>1.1200000000000001</v>
      </c>
      <c r="C180" s="4">
        <v>97.95</v>
      </c>
    </row>
    <row r="181" spans="1:3" x14ac:dyDescent="0.45">
      <c r="A181" s="3">
        <v>743.13</v>
      </c>
      <c r="B181" s="4">
        <v>1.1000000000000001</v>
      </c>
      <c r="C181" s="4">
        <v>97.45</v>
      </c>
    </row>
    <row r="182" spans="1:3" x14ac:dyDescent="0.45">
      <c r="A182" s="3">
        <v>790.15</v>
      </c>
      <c r="B182" s="4">
        <v>1.25</v>
      </c>
      <c r="C182" s="4">
        <v>109.93</v>
      </c>
    </row>
    <row r="183" spans="1:3" x14ac:dyDescent="0.45">
      <c r="A183" s="3">
        <v>663.49</v>
      </c>
      <c r="B183" s="4">
        <v>1.06</v>
      </c>
      <c r="C183" s="4">
        <v>103.69</v>
      </c>
    </row>
    <row r="184" spans="1:3" x14ac:dyDescent="0.45">
      <c r="A184" s="3">
        <v>768.61</v>
      </c>
      <c r="B184" s="4">
        <v>1.21</v>
      </c>
      <c r="C184" s="4">
        <v>103.49</v>
      </c>
    </row>
    <row r="185" spans="1:3" x14ac:dyDescent="0.45">
      <c r="A185" s="3">
        <v>701.52</v>
      </c>
      <c r="B185" s="4">
        <v>1.1599999999999999</v>
      </c>
      <c r="C185" s="4">
        <v>104.73</v>
      </c>
    </row>
    <row r="186" spans="1:3" x14ac:dyDescent="0.45">
      <c r="A186" s="3">
        <v>713.99</v>
      </c>
      <c r="B186" s="4">
        <v>1</v>
      </c>
      <c r="C186" s="4">
        <v>98.27</v>
      </c>
    </row>
    <row r="187" spans="1:3" x14ac:dyDescent="0.45">
      <c r="A187" s="3">
        <v>781.37</v>
      </c>
      <c r="B187" s="4">
        <v>1.1599999999999999</v>
      </c>
      <c r="C187" s="4">
        <v>102.98</v>
      </c>
    </row>
    <row r="188" spans="1:3" x14ac:dyDescent="0.45">
      <c r="A188" s="3">
        <v>607.92999999999995</v>
      </c>
      <c r="B188" s="4">
        <v>0.96</v>
      </c>
      <c r="C188" s="4">
        <v>96.89</v>
      </c>
    </row>
    <row r="189" spans="1:3" x14ac:dyDescent="0.45">
      <c r="A189" s="3">
        <v>701.01</v>
      </c>
      <c r="B189" s="4">
        <v>1.0900000000000001</v>
      </c>
      <c r="C189" s="4">
        <v>112.86</v>
      </c>
    </row>
    <row r="190" spans="1:3" x14ac:dyDescent="0.45">
      <c r="A190" s="3">
        <v>794.21</v>
      </c>
      <c r="B190" s="4">
        <v>1.2</v>
      </c>
      <c r="C190" s="4">
        <v>103.36</v>
      </c>
    </row>
    <row r="191" spans="1:3" x14ac:dyDescent="0.45">
      <c r="A191" s="3">
        <v>678.73</v>
      </c>
      <c r="B191" s="4">
        <v>1.05</v>
      </c>
      <c r="C191" s="4">
        <v>101.37</v>
      </c>
    </row>
    <row r="192" spans="1:3" x14ac:dyDescent="0.45">
      <c r="A192" s="3">
        <v>725.97</v>
      </c>
      <c r="B192" s="4">
        <v>1.17</v>
      </c>
      <c r="C192" s="4">
        <v>100.87</v>
      </c>
    </row>
    <row r="193" spans="1:3" x14ac:dyDescent="0.45">
      <c r="A193" s="3">
        <v>745.93</v>
      </c>
      <c r="B193" s="4">
        <v>1.1100000000000001</v>
      </c>
      <c r="C193" s="4">
        <v>97.27</v>
      </c>
    </row>
    <row r="194" spans="1:3" x14ac:dyDescent="0.45">
      <c r="A194" s="3">
        <v>709.49</v>
      </c>
      <c r="B194" s="4">
        <v>0.99</v>
      </c>
      <c r="C194" s="4">
        <v>101.67</v>
      </c>
    </row>
    <row r="195" spans="1:3" x14ac:dyDescent="0.45">
      <c r="A195" s="3">
        <v>727.93</v>
      </c>
      <c r="B195" s="4">
        <v>1.25</v>
      </c>
      <c r="C195" s="4">
        <v>103.32</v>
      </c>
    </row>
    <row r="196" spans="1:3" x14ac:dyDescent="0.45">
      <c r="A196" s="3">
        <v>771.94</v>
      </c>
      <c r="B196" s="4">
        <v>1.02</v>
      </c>
      <c r="C196" s="4">
        <v>102.24</v>
      </c>
    </row>
    <row r="197" spans="1:3" x14ac:dyDescent="0.45">
      <c r="A197" s="3">
        <v>686.17</v>
      </c>
      <c r="B197" s="4">
        <v>0.93</v>
      </c>
      <c r="C197" s="4">
        <v>99.36</v>
      </c>
    </row>
    <row r="198" spans="1:3" x14ac:dyDescent="0.45">
      <c r="A198" s="3">
        <v>678.87</v>
      </c>
      <c r="B198" s="4">
        <v>0.95</v>
      </c>
      <c r="C198" s="4">
        <v>95.92</v>
      </c>
    </row>
    <row r="199" spans="1:3" x14ac:dyDescent="0.45">
      <c r="A199" s="3">
        <v>699.19</v>
      </c>
      <c r="B199" s="4">
        <v>1.05</v>
      </c>
      <c r="C199" s="4">
        <v>102.73</v>
      </c>
    </row>
    <row r="200" spans="1:3" x14ac:dyDescent="0.45">
      <c r="A200" s="3">
        <v>797.61</v>
      </c>
      <c r="B200" s="4">
        <v>1.22</v>
      </c>
      <c r="C200" s="4">
        <v>105.3</v>
      </c>
    </row>
    <row r="201" spans="1:3" x14ac:dyDescent="0.45">
      <c r="A201" s="3">
        <v>700.88</v>
      </c>
      <c r="B201" s="4">
        <v>1.04</v>
      </c>
      <c r="C201" s="4">
        <v>104.45</v>
      </c>
    </row>
    <row r="202" spans="1:3" x14ac:dyDescent="0.45">
      <c r="A202" s="3">
        <v>695.38</v>
      </c>
      <c r="B202" s="4">
        <v>1.06</v>
      </c>
      <c r="C202" s="4">
        <v>101.69</v>
      </c>
    </row>
    <row r="203" spans="1:3" x14ac:dyDescent="0.45">
      <c r="A203" s="3">
        <v>683.96</v>
      </c>
      <c r="B203" s="4">
        <v>1.1599999999999999</v>
      </c>
      <c r="C203" s="4">
        <v>104.3</v>
      </c>
    </row>
    <row r="204" spans="1:3" x14ac:dyDescent="0.45">
      <c r="A204" s="3">
        <v>558.21</v>
      </c>
      <c r="B204" s="4">
        <v>0.82</v>
      </c>
      <c r="C204" s="4">
        <v>89.95</v>
      </c>
    </row>
    <row r="205" spans="1:3" x14ac:dyDescent="0.45">
      <c r="A205" s="3">
        <v>670.24</v>
      </c>
      <c r="B205" s="4">
        <v>1.1599999999999999</v>
      </c>
      <c r="C205" s="4">
        <v>101.06</v>
      </c>
    </row>
    <row r="206" spans="1:3" x14ac:dyDescent="0.45">
      <c r="A206" s="3">
        <v>646.73</v>
      </c>
      <c r="B206" s="4">
        <v>0.96</v>
      </c>
      <c r="C206" s="4">
        <v>95.72</v>
      </c>
    </row>
    <row r="207" spans="1:3" x14ac:dyDescent="0.45">
      <c r="A207" s="3">
        <v>832.72</v>
      </c>
      <c r="B207" s="4">
        <v>1.31</v>
      </c>
      <c r="C207" s="4">
        <v>114.16</v>
      </c>
    </row>
    <row r="208" spans="1:3" x14ac:dyDescent="0.45">
      <c r="A208" s="3">
        <v>646.91999999999996</v>
      </c>
      <c r="B208" s="4">
        <v>0.93</v>
      </c>
      <c r="C208" s="4">
        <v>94.67</v>
      </c>
    </row>
    <row r="209" spans="1:3" x14ac:dyDescent="0.45">
      <c r="A209" s="3">
        <v>689.79</v>
      </c>
      <c r="B209" s="4">
        <v>1.1100000000000001</v>
      </c>
      <c r="C209" s="4">
        <v>101.68</v>
      </c>
    </row>
    <row r="210" spans="1:3" x14ac:dyDescent="0.45">
      <c r="A210" s="3">
        <v>667.71</v>
      </c>
      <c r="B210" s="4">
        <v>0.96</v>
      </c>
      <c r="C210" s="4">
        <v>94.94</v>
      </c>
    </row>
    <row r="211" spans="1:3" x14ac:dyDescent="0.45">
      <c r="A211" s="3">
        <v>737.08</v>
      </c>
      <c r="B211" s="4">
        <v>1.25</v>
      </c>
      <c r="C211" s="4">
        <v>107.2</v>
      </c>
    </row>
    <row r="212" spans="1:3" x14ac:dyDescent="0.45">
      <c r="A212" s="3">
        <v>708.65</v>
      </c>
      <c r="B212" s="4">
        <v>1.02</v>
      </c>
      <c r="C212" s="4">
        <v>104.48</v>
      </c>
    </row>
    <row r="213" spans="1:3" x14ac:dyDescent="0.45">
      <c r="A213" s="3">
        <v>692.87</v>
      </c>
      <c r="B213" s="4">
        <v>1.19</v>
      </c>
      <c r="C213" s="4">
        <v>102.44</v>
      </c>
    </row>
    <row r="214" spans="1:3" x14ac:dyDescent="0.45">
      <c r="A214" s="3">
        <v>678.16</v>
      </c>
      <c r="B214" s="4">
        <v>1</v>
      </c>
      <c r="C214" s="4">
        <v>101.92</v>
      </c>
    </row>
    <row r="215" spans="1:3" x14ac:dyDescent="0.45">
      <c r="A215" s="3">
        <v>599.08000000000004</v>
      </c>
      <c r="B215" s="4">
        <v>0.94</v>
      </c>
      <c r="C215" s="4">
        <v>93.29</v>
      </c>
    </row>
    <row r="216" spans="1:3" x14ac:dyDescent="0.45">
      <c r="A216" s="3">
        <v>625.92999999999995</v>
      </c>
      <c r="B216" s="4">
        <v>1.04</v>
      </c>
      <c r="C216" s="4">
        <v>98.61</v>
      </c>
    </row>
    <row r="217" spans="1:3" x14ac:dyDescent="0.45">
      <c r="A217" s="3">
        <v>645.28</v>
      </c>
      <c r="B217" s="4">
        <v>0.96</v>
      </c>
      <c r="C217" s="4">
        <v>100.12</v>
      </c>
    </row>
    <row r="218" spans="1:3" x14ac:dyDescent="0.45">
      <c r="A218" s="3">
        <v>668.1</v>
      </c>
      <c r="B218" s="4">
        <v>0.93</v>
      </c>
      <c r="C218" s="4">
        <v>106.02</v>
      </c>
    </row>
    <row r="219" spans="1:3" x14ac:dyDescent="0.45">
      <c r="A219" s="3">
        <v>792.62</v>
      </c>
      <c r="B219" s="4">
        <v>1.22</v>
      </c>
      <c r="C219" s="4">
        <v>104.45</v>
      </c>
    </row>
    <row r="220" spans="1:3" x14ac:dyDescent="0.45">
      <c r="A220" s="3">
        <v>539.21</v>
      </c>
      <c r="B220" s="4">
        <v>0.84</v>
      </c>
      <c r="C220" s="4">
        <v>86.14</v>
      </c>
    </row>
    <row r="221" spans="1:3" x14ac:dyDescent="0.45">
      <c r="A221" s="3">
        <v>796.77</v>
      </c>
      <c r="B221" s="4">
        <v>1.3</v>
      </c>
      <c r="C221" s="4">
        <v>119.5</v>
      </c>
    </row>
    <row r="222" spans="1:3" x14ac:dyDescent="0.45">
      <c r="A222" s="3">
        <v>708.93</v>
      </c>
      <c r="B222" s="4">
        <v>1.1100000000000001</v>
      </c>
      <c r="C222" s="4">
        <v>103.76</v>
      </c>
    </row>
    <row r="223" spans="1:3" x14ac:dyDescent="0.45">
      <c r="A223" s="3">
        <v>640.84</v>
      </c>
      <c r="B223" s="4">
        <v>1.04</v>
      </c>
      <c r="C223" s="4">
        <v>96.08</v>
      </c>
    </row>
    <row r="224" spans="1:3" x14ac:dyDescent="0.45">
      <c r="A224" s="3">
        <v>657.56</v>
      </c>
      <c r="B224" s="4">
        <v>0.92</v>
      </c>
      <c r="C224" s="4">
        <v>98.61</v>
      </c>
    </row>
    <row r="225" spans="1:3" x14ac:dyDescent="0.45">
      <c r="A225" s="3">
        <v>683.62</v>
      </c>
      <c r="B225" s="4">
        <v>1.02</v>
      </c>
      <c r="C225" s="4">
        <v>100.85</v>
      </c>
    </row>
    <row r="226" spans="1:3" x14ac:dyDescent="0.45">
      <c r="A226" s="3">
        <v>657.11</v>
      </c>
      <c r="B226" s="4">
        <v>0.99</v>
      </c>
      <c r="C226" s="4">
        <v>104.97</v>
      </c>
    </row>
    <row r="227" spans="1:3" x14ac:dyDescent="0.45">
      <c r="A227" s="3">
        <v>599.54999999999995</v>
      </c>
      <c r="B227" s="4">
        <v>0.87</v>
      </c>
      <c r="C227" s="4">
        <v>92.56</v>
      </c>
    </row>
    <row r="228" spans="1:3" x14ac:dyDescent="0.45">
      <c r="A228" s="3">
        <v>857.74</v>
      </c>
      <c r="B228" s="4">
        <v>1.34</v>
      </c>
      <c r="C228" s="4">
        <v>111.29</v>
      </c>
    </row>
    <row r="229" spans="1:3" x14ac:dyDescent="0.45">
      <c r="A229" s="3">
        <v>668.83</v>
      </c>
      <c r="B229" s="4">
        <v>1.03</v>
      </c>
      <c r="C229" s="4">
        <v>100.02</v>
      </c>
    </row>
    <row r="230" spans="1:3" x14ac:dyDescent="0.45">
      <c r="A230" s="3">
        <v>817.68</v>
      </c>
      <c r="B230" s="4">
        <v>1.18</v>
      </c>
      <c r="C230" s="4">
        <v>110.54</v>
      </c>
    </row>
    <row r="231" spans="1:3" x14ac:dyDescent="0.45">
      <c r="A231" s="3">
        <v>644.45000000000005</v>
      </c>
      <c r="B231" s="4">
        <v>1.18</v>
      </c>
      <c r="C231" s="4">
        <v>100.18</v>
      </c>
    </row>
    <row r="232" spans="1:3" x14ac:dyDescent="0.45">
      <c r="A232" s="3">
        <v>723.25</v>
      </c>
      <c r="B232" s="4">
        <v>1.05</v>
      </c>
      <c r="C232" s="4">
        <v>105.26</v>
      </c>
    </row>
    <row r="233" spans="1:3" x14ac:dyDescent="0.45">
      <c r="A233" s="3">
        <v>674.41</v>
      </c>
      <c r="B233" s="4">
        <v>1.07</v>
      </c>
      <c r="C233" s="4">
        <v>108.88</v>
      </c>
    </row>
    <row r="234" spans="1:3" x14ac:dyDescent="0.45">
      <c r="A234" s="3">
        <v>791.56</v>
      </c>
      <c r="B234" s="4">
        <v>1.1200000000000001</v>
      </c>
      <c r="C234" s="4">
        <v>99.23</v>
      </c>
    </row>
    <row r="235" spans="1:3" x14ac:dyDescent="0.45">
      <c r="A235" s="3">
        <v>683.81</v>
      </c>
      <c r="B235" s="4">
        <v>1.39</v>
      </c>
      <c r="C235" s="4">
        <v>103.4</v>
      </c>
    </row>
    <row r="236" spans="1:3" x14ac:dyDescent="0.45">
      <c r="A236" s="3">
        <v>637.49</v>
      </c>
      <c r="B236" s="4">
        <v>0.91</v>
      </c>
      <c r="C236" s="4">
        <v>98.14</v>
      </c>
    </row>
    <row r="237" spans="1:3" x14ac:dyDescent="0.45">
      <c r="A237" s="3">
        <v>696.65</v>
      </c>
      <c r="B237" s="4">
        <v>1.08</v>
      </c>
      <c r="C237" s="4">
        <v>99.76</v>
      </c>
    </row>
    <row r="238" spans="1:3" x14ac:dyDescent="0.45">
      <c r="A238" s="3">
        <v>741.77</v>
      </c>
      <c r="B238" s="4">
        <v>1</v>
      </c>
      <c r="C238" s="4">
        <v>95.49</v>
      </c>
    </row>
    <row r="239" spans="1:3" x14ac:dyDescent="0.45">
      <c r="A239" s="3">
        <v>771.41</v>
      </c>
      <c r="B239" s="4">
        <v>1.1399999999999999</v>
      </c>
      <c r="C239" s="4">
        <v>105.98</v>
      </c>
    </row>
    <row r="240" spans="1:3" x14ac:dyDescent="0.45">
      <c r="A240" s="3">
        <v>880.7</v>
      </c>
      <c r="B240" s="4">
        <v>1.04</v>
      </c>
      <c r="C240" s="4">
        <v>100.06</v>
      </c>
    </row>
    <row r="241" spans="1:3" x14ac:dyDescent="0.45">
      <c r="A241" s="3">
        <v>604.47</v>
      </c>
      <c r="B241" s="4">
        <v>0.9</v>
      </c>
      <c r="C241" s="4">
        <v>90.91</v>
      </c>
    </row>
    <row r="242" spans="1:3" x14ac:dyDescent="0.45">
      <c r="A242" s="3">
        <v>727.42</v>
      </c>
      <c r="B242" s="4">
        <v>1.08</v>
      </c>
      <c r="C242" s="4">
        <v>108.78</v>
      </c>
    </row>
    <row r="243" spans="1:3" x14ac:dyDescent="0.45">
      <c r="A243" s="3">
        <v>737.54</v>
      </c>
      <c r="B243" s="4">
        <v>1.0900000000000001</v>
      </c>
      <c r="C243" s="4">
        <v>107.31</v>
      </c>
    </row>
    <row r="244" spans="1:3" x14ac:dyDescent="0.45">
      <c r="A244" s="3">
        <v>625</v>
      </c>
      <c r="B244" s="4">
        <v>0.92</v>
      </c>
      <c r="C244" s="4">
        <v>94.61</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E4F92"/>
  </sheetPr>
  <dimension ref="A1:I19"/>
  <sheetViews>
    <sheetView showGridLines="0" workbookViewId="0">
      <pane ySplit="3" topLeftCell="A4" activePane="bottomLeft" state="frozen"/>
      <selection pane="bottomLeft"/>
    </sheetView>
  </sheetViews>
  <sheetFormatPr defaultRowHeight="14.25" x14ac:dyDescent="0.45"/>
  <cols>
    <col min="1" max="1" width="34" customWidth="1"/>
    <col min="2" max="6" width="13" customWidth="1"/>
    <col min="7" max="7" width="4" customWidth="1"/>
    <col min="8" max="8" width="13" customWidth="1"/>
    <col min="9" max="9" width="36" customWidth="1"/>
  </cols>
  <sheetData>
    <row r="1" spans="1:9" ht="26" customHeight="1" x14ac:dyDescent="0.45">
      <c r="A1" s="23" t="s">
        <v>51</v>
      </c>
      <c r="B1" s="21"/>
      <c r="C1" s="21"/>
      <c r="D1" s="21"/>
      <c r="E1" s="21"/>
      <c r="F1" s="21"/>
      <c r="G1" s="21"/>
      <c r="H1" s="21"/>
    </row>
    <row r="2" spans="1:9" ht="18" customHeight="1" x14ac:dyDescent="0.45">
      <c r="A2" s="22" t="s">
        <v>52</v>
      </c>
      <c r="B2" s="21"/>
      <c r="C2" s="21"/>
      <c r="D2" s="21"/>
      <c r="E2" s="21"/>
      <c r="F2" s="21"/>
      <c r="G2" s="21"/>
      <c r="H2" s="21"/>
    </row>
    <row r="4" spans="1:9" ht="16.05" customHeight="1" x14ac:dyDescent="0.45">
      <c r="A4" s="25" t="s">
        <v>53</v>
      </c>
      <c r="B4" s="21"/>
      <c r="C4" s="21"/>
      <c r="D4" s="21"/>
      <c r="E4" s="21"/>
      <c r="F4" s="21"/>
      <c r="G4" s="21"/>
      <c r="H4" s="21"/>
    </row>
    <row r="5" spans="1:9" x14ac:dyDescent="0.45">
      <c r="A5" s="5" t="s">
        <v>54</v>
      </c>
      <c r="B5" s="6">
        <v>1200</v>
      </c>
    </row>
    <row r="6" spans="1:9" x14ac:dyDescent="0.45">
      <c r="A6" s="5" t="s">
        <v>55</v>
      </c>
      <c r="B6" s="6">
        <v>90</v>
      </c>
      <c r="H6" s="7"/>
      <c r="I6" s="24" t="s">
        <v>56</v>
      </c>
    </row>
    <row r="7" spans="1:9" x14ac:dyDescent="0.45">
      <c r="A7" s="5" t="s">
        <v>57</v>
      </c>
      <c r="B7" s="6">
        <v>15</v>
      </c>
      <c r="H7" s="7"/>
      <c r="I7" s="21"/>
    </row>
    <row r="8" spans="1:9" x14ac:dyDescent="0.45">
      <c r="H8" s="7"/>
      <c r="I8" s="21"/>
    </row>
    <row r="9" spans="1:9" ht="16.05" customHeight="1" x14ac:dyDescent="0.45">
      <c r="A9" s="25" t="s">
        <v>58</v>
      </c>
      <c r="B9" s="21"/>
      <c r="C9" s="21"/>
      <c r="D9" s="21"/>
      <c r="E9" s="21"/>
      <c r="F9" s="21"/>
      <c r="G9" s="21"/>
      <c r="H9" s="21"/>
    </row>
    <row r="10" spans="1:9" x14ac:dyDescent="0.45">
      <c r="A10" s="5" t="s">
        <v>47</v>
      </c>
      <c r="B10" s="7"/>
      <c r="C10" s="24" t="s">
        <v>59</v>
      </c>
      <c r="D10" s="21"/>
      <c r="E10" s="21"/>
      <c r="F10" s="21"/>
    </row>
    <row r="11" spans="1:9" x14ac:dyDescent="0.45">
      <c r="A11" s="5" t="s">
        <v>48</v>
      </c>
      <c r="B11" s="7"/>
      <c r="C11" s="21"/>
      <c r="D11" s="21"/>
      <c r="E11" s="21"/>
      <c r="F11" s="21"/>
    </row>
    <row r="12" spans="1:9" x14ac:dyDescent="0.45">
      <c r="A12" s="5" t="s">
        <v>60</v>
      </c>
      <c r="B12" s="7"/>
      <c r="C12" s="21"/>
      <c r="D12" s="21"/>
      <c r="E12" s="21"/>
      <c r="F12" s="21"/>
    </row>
    <row r="14" spans="1:9" ht="16.05" customHeight="1" x14ac:dyDescent="0.45">
      <c r="A14" s="25" t="s">
        <v>61</v>
      </c>
      <c r="B14" s="21"/>
      <c r="C14" s="21"/>
      <c r="D14" s="21"/>
      <c r="E14" s="21"/>
      <c r="F14" s="21"/>
      <c r="G14" s="21"/>
      <c r="H14" s="21"/>
    </row>
    <row r="15" spans="1:9" x14ac:dyDescent="0.45">
      <c r="A15" s="5" t="s">
        <v>62</v>
      </c>
    </row>
    <row r="17" spans="1:8" ht="16.05" customHeight="1" x14ac:dyDescent="0.45">
      <c r="A17" s="25" t="s">
        <v>63</v>
      </c>
      <c r="B17" s="21"/>
      <c r="C17" s="21"/>
      <c r="D17" s="21"/>
      <c r="E17" s="21"/>
      <c r="F17" s="21"/>
      <c r="G17" s="21"/>
      <c r="H17" s="21"/>
    </row>
    <row r="18" spans="1:8" ht="15.75" customHeight="1" x14ac:dyDescent="0.5">
      <c r="A18" s="5" t="s">
        <v>64</v>
      </c>
      <c r="B18" s="8">
        <f>(B5*B10+B6*1000*B11+B7*1000*B12*0.45)/1000</f>
        <v>0</v>
      </c>
      <c r="C18" s="24" t="s">
        <v>65</v>
      </c>
      <c r="D18" s="21"/>
      <c r="E18" s="21"/>
      <c r="F18" s="21"/>
    </row>
    <row r="19" spans="1:8" x14ac:dyDescent="0.45">
      <c r="C19" s="21"/>
      <c r="D19" s="21"/>
      <c r="E19" s="21"/>
      <c r="F19" s="21"/>
    </row>
  </sheetData>
  <mergeCells count="9">
    <mergeCell ref="C18:F19"/>
    <mergeCell ref="A17:H17"/>
    <mergeCell ref="A9:H9"/>
    <mergeCell ref="A4:H4"/>
    <mergeCell ref="I6:I8"/>
    <mergeCell ref="C10:F12"/>
    <mergeCell ref="A2:H2"/>
    <mergeCell ref="A14:H14"/>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Data</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Timour Koupeev</cp:lastModifiedBy>
  <dcterms:created xsi:type="dcterms:W3CDTF">2026-07-05T09:12:40Z</dcterms:created>
  <dcterms:modified xsi:type="dcterms:W3CDTF">2026-07-05T18:09:24Z</dcterms:modified>
</cp:coreProperties>
</file>