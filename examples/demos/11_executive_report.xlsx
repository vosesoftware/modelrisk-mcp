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ou\source\repos\modelrisk-mcp\examples\demos\"/>
    </mc:Choice>
  </mc:AlternateContent>
  <xr:revisionPtr revIDLastSave="0" documentId="13_ncr:1_{C6C0F4BD-99EF-4F60-AFDB-00D8E35D2318}" xr6:coauthVersionLast="47" xr6:coauthVersionMax="47" xr10:uidLastSave="{00000000-0000-0000-0000-000000000000}"/>
  <bookViews>
    <workbookView xWindow="-98" yWindow="-98" windowWidth="21795" windowHeight="12975" xr2:uid="{00000000-000D-0000-FFFF-FFFF00000000}"/>
  </bookViews>
  <sheets>
    <sheet name="README" sheetId="1" r:id="rId1"/>
    <sheet name="Mod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5" i="2" s="1"/>
</calcChain>
</file>

<file path=xl/sharedStrings.xml><?xml version="1.0" encoding="utf-8"?>
<sst xmlns="http://schemas.openxmlformats.org/spreadsheetml/2006/main" count="56" uniqueCount="56">
  <si>
    <t>Demo 11 — One-prompt board pack: reports and summaries</t>
  </si>
  <si>
    <t>Build a risk model, then get board-ready reports and prose from single prompts.</t>
  </si>
  <si>
    <t>WHAT THIS DEMO SHOWS</t>
  </si>
  <si>
    <t>You are presenting the risk case for acquiring a quarry to the board on Thursday. The Model sheet holds a small 5-year NPV model with three uncertain inputs.</t>
  </si>
  <si>
    <t>One prompt turns it into a Monte Carlo model and runs it; three more prompts produce the entire board pack: an executive report sheet, a drivers page, and paste-ready memo text.</t>
  </si>
  <si>
    <t>Tools demonstrated: replace_constant_with_distribution, wrap_with_output, run_simulation, build_executive_report, build_drivers_report, generate_executive_summary</t>
  </si>
  <si>
    <t>GETTING STARTED</t>
  </si>
  <si>
    <t>You need: Windows Excel with the ModelRisk add-in installed and licensed, and modelrisk-mcp connected to Claude (Claude Desktop or Claude Code).</t>
  </si>
  <si>
    <t>Save the demo gallery folder anywhere on your PC. Once per session, tell Claude where it is and which demo to open:</t>
  </si>
  <si>
    <t>PROMPT →  My ModelRisk demo gallery is in &lt;your folder, e.g. Documents\modelrisk-demos&gt;. Open 11_executive_report.xlsx from there.</t>
  </si>
  <si>
    <t>Claude remembers the folder for the rest of the session — later demos just need "Open &lt;file&gt; from the demo folder".</t>
  </si>
  <si>
    <t>FAST TRACK — ONE PROMPT DOES IT ALL</t>
  </si>
  <si>
    <t>In a hurry? This single prompt runs the whole demo end-to-end. Prefer to learn how it works? Skip to the numbered steps below — same result, one capability at a time.</t>
  </si>
  <si>
    <t>PROMPT →  In this workbook, apply the three distributions noted in column C of the Model sheet to B6, B7 and B8 with those input names, wrap B15 as output "NPV", and run 5,000 iterations. Then build the executive report and the drivers report for NPV, and write an executive summary I can paste into the board memo, including the P80 contingency view.</t>
  </si>
  <si>
    <t>Expected: a simulated model plus two styled report sheets and board-ready prose — one prompt.</t>
  </si>
  <si>
    <t>STEP-BY-STEP</t>
  </si>
  <si>
    <t>Open the workbook and look at the Model sheet: three inputs carry notes in column C describing the distributions to apply.</t>
  </si>
  <si>
    <t>PROMPT →  Open 11_executive_report.xlsx from the demo folder.</t>
  </si>
  <si>
    <t>Expected: The Model sheet shows the deterministic quarry NPV in B15.</t>
  </si>
  <si>
    <t>Build and run the Monte Carlo model in one prompt.</t>
  </si>
  <si>
    <t>PROMPT →  Build the Monte Carlo model: apply the three distributions noted in column C to B6, B7 and B8 with those input names, wrap B15 as output "NPV", and run 5,000 iterations.</t>
  </si>
  <si>
    <t>Expected: B6:B8 become named VosePERT inputs, B15 becomes VoseOutput("NPV"), and a 5,000-iteration run completes with headline statistics.</t>
  </si>
  <si>
    <t>The full executive report.</t>
  </si>
  <si>
    <t>PROMPT →  Build an executive report for NPV.</t>
  </si>
  <si>
    <t>Expected: A styled report SHEET appears — headline numbers, a histogram with the P10-P90 band, a tornado chart, a statistics table and plain-language callouts (build_executive_report).</t>
  </si>
  <si>
    <t>The drivers page.</t>
  </si>
  <si>
    <t>PROMPT →  Build a drivers report for NPV.</t>
  </si>
  <si>
    <t>Expected: A drivers sheet with a tornado chart and a KEY FINDINGS section ranking Tonnage, PricePerTonne and CashCost (build_drivers_report).</t>
  </si>
  <si>
    <t>Words for the deck.</t>
  </si>
  <si>
    <t>PROMPT →  Write an executive summary of these results I can paste into the board memo — include the P80 contingency view.</t>
  </si>
  <si>
    <t>Expected: Markdown prose from generate_executive_summary — headline NPV range, drivers, and a P80 contingency framing ready to paste.</t>
  </si>
  <si>
    <t>WHAT TO LOOK FOR</t>
  </si>
  <si>
    <t>• The deliverables are native, formatted Excel sheets plus prose — not screenshots or exports.</t>
  </si>
  <si>
    <t>• Everything is produced from the live simulation results: rerun the sim, rebuild the report, and every number refreshes consistently.</t>
  </si>
  <si>
    <t>• Four short prompts take you from a static spreadsheet to a complete Thursday board pack.</t>
  </si>
  <si>
    <t>COLOUR LEGEND</t>
  </si>
  <si>
    <t>Light blue + blue text: an input you can change</t>
  </si>
  <si>
    <t>Pale yellow: where Claude will write Vose formulas / results land</t>
  </si>
  <si>
    <t>Green bold: the key decision metric</t>
  </si>
  <si>
    <t>Grey italic: a prompt to type to Claude</t>
  </si>
  <si>
    <t>Quarry acquisition — 5-year NPV ($k)</t>
  </si>
  <si>
    <t>Deterministic base case; column C notes the distributions Claude will apply.</t>
  </si>
  <si>
    <t>ASSUMPTIONS</t>
  </si>
  <si>
    <t>Purchase price ($k)</t>
  </si>
  <si>
    <t>Annual tonnage (kt)</t>
  </si>
  <si>
    <t>Claude will replace with VosePERT(520,640,760) named Tonnage</t>
  </si>
  <si>
    <t>Price ($/t)</t>
  </si>
  <si>
    <t>Claude will replace with VosePERT(18,21,25) named PricePerTonne</t>
  </si>
  <si>
    <t>Cash cost ($/t)</t>
  </si>
  <si>
    <t>Claude will replace with VosePERT(11.5,12.5,14.5) named CashCost</t>
  </si>
  <si>
    <t>Overheads ($k/yr)</t>
  </si>
  <si>
    <t>Discount rate</t>
  </si>
  <si>
    <t>VALUATION</t>
  </si>
  <si>
    <t>Annual EBITDA ($k)</t>
  </si>
  <si>
    <t>NPV — 5yr flat ($k)</t>
  </si>
  <si>
    <t>Claude will wrap this as VoseOutput("NPV")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</si>
</sst>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b/>
      <sz val="14"/>
      <color rgb="FFFFFFFF"/>
      <name val="Calibri"/>
    </font>
    <font>
      <i/>
      <sz val="11"/>
      <color rgb="FF808080"/>
      <name val="Calibri"/>
    </font>
    <font>
      <b/>
      <sz val="11"/>
      <color rgb="FFFFFFFF"/>
      <name val="Calibri"/>
    </font>
    <font>
      <sz val="11"/>
      <color rgb="FF000000"/>
      <name val="Calibri"/>
    </font>
    <font>
      <sz val="11"/>
      <color rgb="FF0000FF"/>
      <name val="Calibri"/>
    </font>
    <font>
      <b/>
      <sz val="12"/>
      <color rgb="FF000000"/>
      <name val="Calibri"/>
    </font>
    <font>
      <b/>
      <sz val="14"/>
      <color rgb="FFFFFFFF"/>
      <name val="Calibri"/>
    </font>
    <font>
      <i/>
      <sz val="11"/>
      <color rgb="FF808080"/>
      <name val="Calibri"/>
    </font>
    <font>
      <b/>
      <sz val="11"/>
      <color rgb="FFFFFFFF"/>
      <name val="Calibri"/>
    </font>
    <font>
      <sz val="11"/>
      <color rgb="FF000000"/>
      <name val="Calibri"/>
    </font>
    <font>
      <i/>
      <sz val="11"/>
      <color rgb="FF1F3864"/>
      <name val="Calibri"/>
    </font>
    <font>
      <b/>
      <sz val="11"/>
      <color rgb="FF000000"/>
      <name val="Calibri"/>
    </font>
    <font>
      <sz val="11"/>
      <color rgb="FF0000FF"/>
      <name val="Calibri"/>
    </font>
    <font>
      <b/>
      <sz val="12"/>
      <color rgb="FF000000"/>
      <name val="Calibri"/>
    </font>
  </fonts>
  <fills count="13">
    <fill>
      <patternFill patternType="none"/>
    </fill>
    <fill>
      <patternFill patternType="gray125"/>
    </fill>
    <fill>
      <patternFill patternType="solid">
        <fgColor rgb="FF0E4F92"/>
      </patternFill>
    </fill>
    <fill>
      <patternFill patternType="solid">
        <fgColor rgb="FF1F3864"/>
      </patternFill>
    </fill>
    <fill>
      <patternFill patternType="solid">
        <fgColor rgb="FFECF4FC"/>
      </patternFill>
    </fill>
    <fill>
      <patternFill patternType="solid">
        <fgColor rgb="FFFFF8E1"/>
      </patternFill>
    </fill>
    <fill>
      <patternFill patternType="solid">
        <fgColor rgb="FFC6EFCE"/>
      </patternFill>
    </fill>
    <fill>
      <patternFill patternType="solid">
        <fgColor rgb="FF0E4F92"/>
      </patternFill>
    </fill>
    <fill>
      <patternFill patternType="solid">
        <fgColor rgb="FF1F3864"/>
      </patternFill>
    </fill>
    <fill>
      <patternFill patternType="solid">
        <fgColor rgb="FFF2F2F2"/>
      </patternFill>
    </fill>
    <fill>
      <patternFill patternType="solid">
        <fgColor rgb="FFECF4FC"/>
      </patternFill>
    </fill>
    <fill>
      <patternFill patternType="solid">
        <fgColor rgb="FFFFF8E1"/>
      </patternFill>
    </fill>
    <fill>
      <patternFill patternType="solid">
        <fgColor rgb="FFC6EFCE"/>
      </patternFill>
    </fill>
  </fills>
  <borders count="1">
    <border>
      <left/>
      <right/>
      <top/>
      <bottom/>
      <diagonal/>
    </border>
  </borders>
  <cellStyleXfs count="1">
    <xf numFmtId="0" fontId="0" fillId="0" borderId="0"/>
  </cellStyleXfs>
  <cellXfs count="25">
    <xf numFmtId="0" fontId="0" fillId="0" borderId="0" xfId="0"/>
    <xf numFmtId="0" fontId="2" fillId="0" borderId="0" xfId="0" applyFont="1" applyAlignment="1">
      <alignment vertical="top" wrapText="1"/>
    </xf>
    <xf numFmtId="0" fontId="4" fillId="0" borderId="0" xfId="0" applyFont="1"/>
    <xf numFmtId="3" fontId="5" fillId="4" borderId="0" xfId="0" applyNumberFormat="1" applyFont="1" applyFill="1"/>
    <xf numFmtId="3" fontId="5" fillId="5" borderId="0" xfId="0" applyNumberFormat="1" applyFont="1" applyFill="1"/>
    <xf numFmtId="2" fontId="5" fillId="5" borderId="0" xfId="0" applyNumberFormat="1" applyFont="1" applyFill="1"/>
    <xf numFmtId="164" fontId="5" fillId="4" borderId="0" xfId="0" applyNumberFormat="1" applyFont="1" applyFill="1"/>
    <xf numFmtId="165" fontId="4" fillId="0" borderId="0" xfId="0" applyNumberFormat="1" applyFont="1"/>
    <xf numFmtId="165" fontId="6" fillId="6" borderId="0" xfId="0" applyNumberFormat="1" applyFont="1" applyFill="1"/>
    <xf numFmtId="0" fontId="10" fillId="0" borderId="0" xfId="0" applyFont="1" applyAlignment="1">
      <alignment vertical="top" wrapText="1"/>
    </xf>
    <xf numFmtId="0" fontId="11" fillId="9" borderId="0" xfId="0" applyFont="1" applyFill="1" applyAlignment="1">
      <alignment vertical="top" wrapText="1"/>
    </xf>
    <xf numFmtId="0" fontId="8" fillId="0" borderId="0" xfId="0" applyFont="1" applyAlignment="1">
      <alignment vertical="top" wrapText="1"/>
    </xf>
    <xf numFmtId="0" fontId="12" fillId="0" borderId="0" xfId="0" applyFont="1"/>
    <xf numFmtId="0" fontId="13" fillId="10" borderId="0" xfId="0" applyFont="1" applyFill="1"/>
    <xf numFmtId="0" fontId="0" fillId="11" borderId="0" xfId="0" applyFill="1"/>
    <xf numFmtId="0" fontId="14" fillId="12" borderId="0" xfId="0" applyFont="1" applyFill="1"/>
    <xf numFmtId="0" fontId="9" fillId="8" borderId="0" xfId="0" applyFont="1" applyFill="1"/>
    <xf numFmtId="0" fontId="0" fillId="8" borderId="0" xfId="0" applyFill="1"/>
    <xf numFmtId="0" fontId="8" fillId="0" borderId="0" xfId="0" applyFont="1"/>
    <xf numFmtId="0" fontId="0" fillId="0" borderId="0" xfId="0"/>
    <xf numFmtId="0" fontId="7" fillId="7" borderId="0" xfId="0" applyFont="1" applyFill="1" applyAlignment="1">
      <alignment horizontal="left" vertical="center"/>
    </xf>
    <xf numFmtId="0" fontId="0" fillId="7" borderId="0" xfId="0" applyFill="1"/>
    <xf numFmtId="0" fontId="2" fillId="0" borderId="0" xfId="0" applyFont="1"/>
    <xf numFmtId="0" fontId="1" fillId="2" borderId="0" xfId="0" applyFont="1" applyFill="1" applyAlignment="1">
      <alignment horizontal="left" vertical="center"/>
    </xf>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4F92"/>
  </sheetPr>
  <dimension ref="A1:B50"/>
  <sheetViews>
    <sheetView showGridLines="0" tabSelected="1" workbookViewId="0">
      <pane ySplit="3" topLeftCell="A4" activePane="bottomLeft" state="frozen"/>
      <selection pane="bottomLeft" sqref="A1:B1"/>
    </sheetView>
  </sheetViews>
  <sheetFormatPr defaultRowHeight="14.25" x14ac:dyDescent="0.45"/>
  <cols>
    <col min="1" max="1" width="6" customWidth="1"/>
    <col min="2" max="2" width="110" customWidth="1"/>
  </cols>
  <sheetData>
    <row r="1" spans="1:2" ht="26" customHeight="1" x14ac:dyDescent="0.45">
      <c r="A1" s="20" t="s">
        <v>0</v>
      </c>
      <c r="B1" s="21"/>
    </row>
    <row r="2" spans="1:2" ht="18" customHeight="1" x14ac:dyDescent="0.45">
      <c r="A2" s="18" t="s">
        <v>1</v>
      </c>
      <c r="B2" s="19"/>
    </row>
    <row r="4" spans="1:2" ht="16.05" customHeight="1" x14ac:dyDescent="0.45">
      <c r="A4" s="16" t="s">
        <v>2</v>
      </c>
      <c r="B4" s="17"/>
    </row>
    <row r="5" spans="1:2" ht="30" customHeight="1" x14ac:dyDescent="0.45">
      <c r="B5" s="9" t="s">
        <v>3</v>
      </c>
    </row>
    <row r="6" spans="1:2" ht="30" customHeight="1" x14ac:dyDescent="0.45">
      <c r="B6" s="9" t="s">
        <v>4</v>
      </c>
    </row>
    <row r="7" spans="1:2" ht="30" customHeight="1" x14ac:dyDescent="0.45">
      <c r="B7" s="9" t="s">
        <v>5</v>
      </c>
    </row>
    <row r="9" spans="1:2" ht="16.05" customHeight="1" x14ac:dyDescent="0.45">
      <c r="A9" s="16" t="s">
        <v>6</v>
      </c>
      <c r="B9" s="17"/>
    </row>
    <row r="10" spans="1:2" ht="30" customHeight="1" x14ac:dyDescent="0.45">
      <c r="B10" s="9" t="s">
        <v>7</v>
      </c>
    </row>
    <row r="11" spans="1:2" ht="30" customHeight="1" x14ac:dyDescent="0.45">
      <c r="B11" s="9" t="s">
        <v>8</v>
      </c>
    </row>
    <row r="12" spans="1:2" ht="30" customHeight="1" x14ac:dyDescent="0.45">
      <c r="B12" s="10" t="s">
        <v>9</v>
      </c>
    </row>
    <row r="13" spans="1:2" ht="30" customHeight="1" x14ac:dyDescent="0.45">
      <c r="B13" s="11" t="s">
        <v>10</v>
      </c>
    </row>
    <row r="15" spans="1:2" ht="16.05" customHeight="1" x14ac:dyDescent="0.45">
      <c r="A15" s="16" t="s">
        <v>11</v>
      </c>
      <c r="B15" s="17"/>
    </row>
    <row r="16" spans="1:2" ht="30" customHeight="1" x14ac:dyDescent="0.45">
      <c r="B16" s="9" t="s">
        <v>12</v>
      </c>
    </row>
    <row r="17" spans="1:2" ht="75" customHeight="1" x14ac:dyDescent="0.45">
      <c r="B17" s="10" t="s">
        <v>13</v>
      </c>
    </row>
    <row r="18" spans="1:2" ht="30" customHeight="1" x14ac:dyDescent="0.45">
      <c r="B18" s="11" t="s">
        <v>14</v>
      </c>
    </row>
    <row r="20" spans="1:2" ht="16.05" customHeight="1" x14ac:dyDescent="0.45">
      <c r="A20" s="16" t="s">
        <v>15</v>
      </c>
      <c r="B20" s="17"/>
    </row>
    <row r="21" spans="1:2" ht="30" customHeight="1" x14ac:dyDescent="0.45">
      <c r="A21" s="12">
        <v>1</v>
      </c>
      <c r="B21" s="9" t="s">
        <v>16</v>
      </c>
    </row>
    <row r="22" spans="1:2" ht="30" customHeight="1" x14ac:dyDescent="0.45">
      <c r="B22" s="10" t="s">
        <v>17</v>
      </c>
    </row>
    <row r="23" spans="1:2" ht="30" customHeight="1" x14ac:dyDescent="0.45">
      <c r="B23" s="11" t="s">
        <v>18</v>
      </c>
    </row>
    <row r="25" spans="1:2" ht="30" customHeight="1" x14ac:dyDescent="0.45">
      <c r="A25" s="12">
        <v>2</v>
      </c>
      <c r="B25" s="9" t="s">
        <v>19</v>
      </c>
    </row>
    <row r="26" spans="1:2" ht="45" customHeight="1" x14ac:dyDescent="0.45">
      <c r="B26" s="10" t="s">
        <v>20</v>
      </c>
    </row>
    <row r="27" spans="1:2" ht="30" customHeight="1" x14ac:dyDescent="0.45">
      <c r="B27" s="11" t="s">
        <v>21</v>
      </c>
    </row>
    <row r="29" spans="1:2" ht="30" customHeight="1" x14ac:dyDescent="0.45">
      <c r="A29" s="12">
        <v>3</v>
      </c>
      <c r="B29" s="9" t="s">
        <v>22</v>
      </c>
    </row>
    <row r="30" spans="1:2" ht="30" customHeight="1" x14ac:dyDescent="0.45">
      <c r="B30" s="10" t="s">
        <v>23</v>
      </c>
    </row>
    <row r="31" spans="1:2" ht="30" customHeight="1" x14ac:dyDescent="0.45">
      <c r="B31" s="11" t="s">
        <v>24</v>
      </c>
    </row>
    <row r="33" spans="1:2" ht="30" customHeight="1" x14ac:dyDescent="0.45">
      <c r="A33" s="12">
        <v>4</v>
      </c>
      <c r="B33" s="9" t="s">
        <v>25</v>
      </c>
    </row>
    <row r="34" spans="1:2" ht="30" customHeight="1" x14ac:dyDescent="0.45">
      <c r="B34" s="10" t="s">
        <v>26</v>
      </c>
    </row>
    <row r="35" spans="1:2" ht="30" customHeight="1" x14ac:dyDescent="0.45">
      <c r="B35" s="11" t="s">
        <v>27</v>
      </c>
    </row>
    <row r="37" spans="1:2" ht="30" customHeight="1" x14ac:dyDescent="0.45">
      <c r="A37" s="12">
        <v>5</v>
      </c>
      <c r="B37" s="9" t="s">
        <v>28</v>
      </c>
    </row>
    <row r="38" spans="1:2" ht="30" customHeight="1" x14ac:dyDescent="0.45">
      <c r="B38" s="10" t="s">
        <v>29</v>
      </c>
    </row>
    <row r="39" spans="1:2" ht="30" customHeight="1" x14ac:dyDescent="0.45">
      <c r="B39" s="11" t="s">
        <v>30</v>
      </c>
    </row>
    <row r="41" spans="1:2" ht="16.05" customHeight="1" x14ac:dyDescent="0.45">
      <c r="A41" s="16" t="s">
        <v>31</v>
      </c>
      <c r="B41" s="17"/>
    </row>
    <row r="42" spans="1:2" ht="30" customHeight="1" x14ac:dyDescent="0.45">
      <c r="B42" s="9" t="s">
        <v>32</v>
      </c>
    </row>
    <row r="43" spans="1:2" ht="30" customHeight="1" x14ac:dyDescent="0.45">
      <c r="B43" s="9" t="s">
        <v>33</v>
      </c>
    </row>
    <row r="44" spans="1:2" ht="30" customHeight="1" x14ac:dyDescent="0.45">
      <c r="B44" s="9" t="s">
        <v>34</v>
      </c>
    </row>
    <row r="46" spans="1:2" ht="16.05" customHeight="1" x14ac:dyDescent="0.45">
      <c r="A46" s="16" t="s">
        <v>35</v>
      </c>
      <c r="B46" s="17"/>
    </row>
    <row r="47" spans="1:2" x14ac:dyDescent="0.45">
      <c r="A47" s="13"/>
      <c r="B47" s="9" t="s">
        <v>36</v>
      </c>
    </row>
    <row r="48" spans="1:2" x14ac:dyDescent="0.45">
      <c r="A48" s="14"/>
      <c r="B48" s="9" t="s">
        <v>37</v>
      </c>
    </row>
    <row r="49" spans="1:2" ht="15.75" x14ac:dyDescent="0.5">
      <c r="A49" s="15"/>
      <c r="B49" s="9" t="s">
        <v>38</v>
      </c>
    </row>
    <row r="50" spans="1:2" x14ac:dyDescent="0.45">
      <c r="A50" s="10"/>
      <c r="B50" s="9" t="s">
        <v>39</v>
      </c>
    </row>
  </sheetData>
  <mergeCells count="8">
    <mergeCell ref="A46:B46"/>
    <mergeCell ref="A1:B1"/>
    <mergeCell ref="A9:B9"/>
    <mergeCell ref="A4:B4"/>
    <mergeCell ref="A20:B20"/>
    <mergeCell ref="A2:B2"/>
    <mergeCell ref="A15:B15"/>
    <mergeCell ref="A41:B4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4F92"/>
  </sheetPr>
  <dimension ref="A1:E15"/>
  <sheetViews>
    <sheetView showGridLines="0" workbookViewId="0">
      <pane ySplit="4" topLeftCell="A5" activePane="bottomLeft" state="frozen"/>
      <selection pane="bottomLeft"/>
    </sheetView>
  </sheetViews>
  <sheetFormatPr defaultRowHeight="14.25" x14ac:dyDescent="0.45"/>
  <cols>
    <col min="1" max="1" width="34" customWidth="1"/>
    <col min="2" max="2" width="13" customWidth="1"/>
    <col min="3" max="3" width="48" customWidth="1"/>
    <col min="4" max="5" width="13" customWidth="1"/>
  </cols>
  <sheetData>
    <row r="1" spans="1:5" ht="26" customHeight="1" x14ac:dyDescent="0.45">
      <c r="A1" s="23" t="s">
        <v>40</v>
      </c>
      <c r="B1" s="19"/>
      <c r="C1" s="19"/>
      <c r="D1" s="19"/>
      <c r="E1" s="19"/>
    </row>
    <row r="2" spans="1:5" ht="18" customHeight="1" x14ac:dyDescent="0.45">
      <c r="A2" s="22" t="s">
        <v>41</v>
      </c>
      <c r="B2" s="19"/>
      <c r="C2" s="19"/>
      <c r="D2" s="19"/>
      <c r="E2" s="19"/>
    </row>
    <row r="4" spans="1:5" ht="16.05" customHeight="1" x14ac:dyDescent="0.45">
      <c r="A4" s="24" t="s">
        <v>42</v>
      </c>
      <c r="B4" s="19"/>
      <c r="C4" s="19"/>
      <c r="D4" s="19"/>
      <c r="E4" s="19"/>
    </row>
    <row r="5" spans="1:5" x14ac:dyDescent="0.45">
      <c r="A5" s="2" t="s">
        <v>43</v>
      </c>
      <c r="B5" s="3">
        <v>8500</v>
      </c>
    </row>
    <row r="6" spans="1:5" ht="28.5" customHeight="1" x14ac:dyDescent="0.45">
      <c r="A6" s="2" t="s">
        <v>44</v>
      </c>
      <c r="B6" s="4">
        <v>640</v>
      </c>
      <c r="C6" s="1" t="s">
        <v>45</v>
      </c>
    </row>
    <row r="7" spans="1:5" ht="28.5" customHeight="1" x14ac:dyDescent="0.45">
      <c r="A7" s="2" t="s">
        <v>46</v>
      </c>
      <c r="B7" s="5">
        <v>21</v>
      </c>
      <c r="C7" s="1" t="s">
        <v>47</v>
      </c>
    </row>
    <row r="8" spans="1:5" ht="28.5" customHeight="1" x14ac:dyDescent="0.45">
      <c r="A8" s="2" t="s">
        <v>48</v>
      </c>
      <c r="B8" s="5">
        <v>12.5</v>
      </c>
      <c r="C8" s="1" t="s">
        <v>49</v>
      </c>
    </row>
    <row r="9" spans="1:5" x14ac:dyDescent="0.45">
      <c r="A9" s="2" t="s">
        <v>50</v>
      </c>
      <c r="B9" s="3">
        <v>1150</v>
      </c>
    </row>
    <row r="10" spans="1:5" x14ac:dyDescent="0.45">
      <c r="A10" s="2" t="s">
        <v>51</v>
      </c>
      <c r="B10" s="6">
        <v>0.09</v>
      </c>
    </row>
    <row r="12" spans="1:5" ht="16.05" customHeight="1" x14ac:dyDescent="0.45">
      <c r="A12" s="24" t="s">
        <v>52</v>
      </c>
      <c r="B12" s="19"/>
      <c r="C12" s="19"/>
      <c r="D12" s="19"/>
      <c r="E12" s="19"/>
    </row>
    <row r="13" spans="1:5" x14ac:dyDescent="0.45">
      <c r="A13" s="2" t="s">
        <v>53</v>
      </c>
      <c r="B13" s="7">
        <f>B6*(B7-B8)-B9</f>
        <v>4290</v>
      </c>
    </row>
    <row r="15" spans="1:5" ht="15.75" customHeight="1" x14ac:dyDescent="0.5">
      <c r="A15" s="2" t="s">
        <v>54</v>
      </c>
      <c r="B15" s="8">
        <f>B13*(1-(1+B10)^-5)/B10-B5</f>
        <v>8186.6039197788778</v>
      </c>
      <c r="C15" s="1" t="s">
        <v>55</v>
      </c>
    </row>
  </sheetData>
  <mergeCells count="4">
    <mergeCell ref="A2:E2"/>
    <mergeCell ref="A1:E1"/>
    <mergeCell ref="A4:E4"/>
    <mergeCell ref="A12:E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Timour Koupeev</cp:lastModifiedBy>
  <dcterms:created xsi:type="dcterms:W3CDTF">2026-07-05T09:14:25Z</dcterms:created>
  <dcterms:modified xsi:type="dcterms:W3CDTF">2026-07-05T11:42:34Z</dcterms:modified>
</cp:coreProperties>
</file>