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imou\source\repos\modelrisk-mcp\examples\demos\"/>
    </mc:Choice>
  </mc:AlternateContent>
  <xr:revisionPtr revIDLastSave="0" documentId="13_ncr:1_{DE6D37FA-EA5A-4D84-B3B5-392CF787866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Data" sheetId="2" r:id="rId2"/>
    <sheet name="Mode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B9" i="3"/>
  <c r="B16" i="3" s="1"/>
</calcChain>
</file>

<file path=xl/sharedStrings.xml><?xml version="1.0" encoding="utf-8"?>
<sst xmlns="http://schemas.openxmlformats.org/spreadsheetml/2006/main" count="65" uniqueCount="63">
  <si>
    <t>Demo 13 — Compare two options under uncertainty</t>
  </si>
  <si>
    <t>P(A beats B) and stochastic dominance: when the average says one thing and the tail says another.</t>
  </si>
  <si>
    <t>WHAT THIS DEMO SHOWS</t>
  </si>
  <si>
    <t>Procurement must pick ONE supplier for a 3-year contract. Supplier A is stable but pricier; supplier B is cheaper on paper but volatile.</t>
  </si>
  <si>
    <t>Averages say B. But the decision needs the whole distribution: probability A actually beats B, dominance tests, and tail (P95) comparisons.</t>
  </si>
  <si>
    <t>Tools demonstrated: compute_correlation_matrix, replace_constant_with_distribution, wrap_with_output, run_simulation, compare_distributions.</t>
  </si>
  <si>
    <t>GETTING STARTED</t>
  </si>
  <si>
    <t>You need: Windows Excel with the ModelRisk add-in installed and licensed, and modelrisk-mcp connected to Claude (Claude Desktop or Claude Code).</t>
  </si>
  <si>
    <t>Save the demo gallery folder anywhere on your PC. Once per session, tell Claude where it is and which demo to open:</t>
  </si>
  <si>
    <t>PROMPT →  My ModelRisk demo gallery is in &lt;your folder, e.g. Documents\modelrisk-demos&gt;. Open 13_compare_options.xlsx from there.</t>
  </si>
  <si>
    <t>Claude remembers the folder for the rest of the session — later demos just need "Open &lt;file&gt; from the demo folder".</t>
  </si>
  <si>
    <t>FAST TRACK — ONE PROMPT DOES IT ALL</t>
  </si>
  <si>
    <t>In a hurry? This single prompt runs the whole demo end-to-end. Prefer to learn how it works? Skip to the numbered steps below — same result, one capability at a time.</t>
  </si>
  <si>
    <t>PROMPT →  Open 13_compare_options.xlsx from the demo folder. Compute the rank correlation of the two suppliers’ cost history in ‘Data’!A5:B28. Then make both unit costs uncertain: replace B8 on ‘Model’ with VosePERT(9.8,10.2,10.8) named CostA_Unit and B12 with VosePERT(8.6,9.6,11.4) named CostB_Unit, wrap B9 as output "CostA" and B13 as output "CostB", run 5,000 iterations, then compare CostA and CostB: probability A is cheaper, stochastic dominance either way, and P95 differences. Finish with a recommendation: B on expected cost, or A on the P95 worst case — give both views.</t>
  </si>
  <si>
    <t>Expected: a correlation matrix, a completed simulation, P(A beats B), dominance verdicts, percentile deltas and a two-sided recommendation.</t>
  </si>
  <si>
    <t>STEP-BY-STEP</t>
  </si>
  <si>
    <t>Open the workbook.</t>
  </si>
  <si>
    <t>PROMPT →  Open 13_compare_options.xlsx from the demo folder.</t>
  </si>
  <si>
    <t>Expected: Claude opens the workbook and confirms the Data and Model sheets.</t>
  </si>
  <si>
    <t>First — do their costs move together?</t>
  </si>
  <si>
    <t>PROMPT →  Compute the rank correlation matrix of the two suppliers’ history in ‘Data’!A5:B28 — do their costs move together?</t>
  </si>
  <si>
    <t>Expected: a 2x2 Spearman matrix, ~0.5 correlation — switching supplier diversifies less than you’d hope (compute_correlation_matrix).</t>
  </si>
  <si>
    <t>Make both unit costs uncertain.</t>
  </si>
  <si>
    <t>PROMPT →  Replace B8 with VosePERT(9.8,10.2,10.8) named CostA_Unit and B12 with VosePERT(8.6,9.6,11.4) named CostB_Unit; wrap B9 as output "CostA" and B13 as output "CostB" — write them now.</t>
  </si>
  <si>
    <t>Expected: both unit costs become PERT distributions and both annual costs become named simulation outputs.</t>
  </si>
  <si>
    <t>Simulate.</t>
  </si>
  <si>
    <t>PROMPT →  Run 5,000 iterations.</t>
  </si>
  <si>
    <t>Expected: the simulation completes; CostA and CostB each collect 5,000 samples.</t>
  </si>
  <si>
    <t>The head-to-head.</t>
  </si>
  <si>
    <t>PROMPT →  Compare CostA and CostB: what is the probability A is actually cheaper than B, is there stochastic dominance either way, and how do their P95s differ?</t>
  </si>
  <si>
    <t>Expected: P(A&lt;B), first/second-order dominance verdicts, percentile deltas (compare_distributions).</t>
  </si>
  <si>
    <t>Decide.</t>
  </si>
  <si>
    <t>PROMPT →  Recommend a supplier: B on expected cost, or A if we care about the P95 worst case? Give both views.</t>
  </si>
  <si>
    <t>Expected: a balanced recommendation showing the mean favours B while the tail may favour A.</t>
  </si>
  <si>
    <t>WHAT TO LOOK FOR</t>
  </si>
  <si>
    <t>• The mean says B, the tail may say A — that IS the decision.</t>
  </si>
  <si>
    <t>• P(A beats B) is a probability, not a feeling.</t>
  </si>
  <si>
    <t>• Dominance (when present) ends the argument.</t>
  </si>
  <si>
    <t>COLOUR LEGEND</t>
  </si>
  <si>
    <t>Blue cells = inputs you (or Claude) can change</t>
  </si>
  <si>
    <t>Yellow cells = simulation output targets (Claude wraps these)</t>
  </si>
  <si>
    <t>Green cells = key decision metrics</t>
  </si>
  <si>
    <t>Grey italic cells = prompts to paste to Claude</t>
  </si>
  <si>
    <t>Past landed unit costs ($/unit)</t>
  </si>
  <si>
    <t>24 months of history for suppliers A and B — same commodity index moves both.</t>
  </si>
  <si>
    <t>Supplier A</t>
  </si>
  <si>
    <t>Supplier B</t>
  </si>
  <si>
    <t>Source: synthetic demo data, seed=24, generated 2026-07-05</t>
  </si>
  <si>
    <t>Contract cost comparison ($k/yr)</t>
  </si>
  <si>
    <t>Annual contract cost for each supplier — averages say B; the distribution decides.</t>
  </si>
  <si>
    <t>VOLUME</t>
  </si>
  <si>
    <t>Annual volume (k units)</t>
  </si>
  <si>
    <t>SUPPLIER A</t>
  </si>
  <si>
    <t>Unit cost ($/unit)</t>
  </si>
  <si>
    <t>Claude replaces with VosePERT(9.8,10.2,10.8) named CostA_Unit</t>
  </si>
  <si>
    <t>Annual cost ($k)</t>
  </si>
  <si>
    <t>Claude wraps as VoseOutput("CostA")</t>
  </si>
  <si>
    <t>SUPPLIER B</t>
  </si>
  <si>
    <t>Claude replaces with VosePERT(8.6,9.6,11.4) named CostB_Unit</t>
  </si>
  <si>
    <t>Claude wraps as VoseOutput("CostB")</t>
  </si>
  <si>
    <t>DECISION</t>
  </si>
  <si>
    <t>Expected saving picking B ($k)</t>
  </si>
  <si>
    <t>Positive = B looks cheaper on average. The simulation shows whether the tail agrees.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</si>
</sst>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808080"/>
      <name val="Calibri"/>
    </font>
    <font>
      <b/>
      <sz val="11"/>
      <color rgb="FFFFFFFF"/>
      <name val="Calibri"/>
    </font>
    <font>
      <sz val="11"/>
      <color rgb="FF000000"/>
      <name val="Calibri"/>
    </font>
    <font>
      <i/>
      <sz val="11"/>
      <color rgb="FF1F3864"/>
      <name val="Calibri"/>
    </font>
    <font>
      <b/>
      <sz val="11"/>
      <color rgb="FF000000"/>
      <name val="Calibri"/>
    </font>
    <font>
      <sz val="11"/>
      <color rgb="FF0000FF"/>
      <name val="Calibri"/>
    </font>
    <font>
      <b/>
      <sz val="12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E4F9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CF4FC"/>
      </patternFill>
    </fill>
    <fill>
      <patternFill patternType="solid">
        <fgColor rgb="FFFFF8E1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7" fillId="5" borderId="0" xfId="0" applyFont="1" applyFill="1"/>
    <xf numFmtId="0" fontId="0" fillId="6" borderId="0" xfId="0" applyFill="1"/>
    <xf numFmtId="0" fontId="8" fillId="7" borderId="0" xfId="0" applyFont="1" applyFill="1"/>
    <xf numFmtId="0" fontId="6" fillId="4" borderId="0" xfId="0" applyFont="1" applyFill="1"/>
    <xf numFmtId="2" fontId="4" fillId="0" borderId="0" xfId="0" applyNumberFormat="1" applyFont="1"/>
    <xf numFmtId="0" fontId="4" fillId="0" borderId="0" xfId="0" applyFont="1"/>
    <xf numFmtId="3" fontId="7" fillId="5" borderId="0" xfId="0" applyNumberFormat="1" applyFont="1" applyFill="1"/>
    <xf numFmtId="2" fontId="7" fillId="6" borderId="0" xfId="0" applyNumberFormat="1" applyFont="1" applyFill="1"/>
    <xf numFmtId="3" fontId="0" fillId="6" borderId="0" xfId="0" applyNumberFormat="1" applyFill="1"/>
    <xf numFmtId="164" fontId="8" fillId="7" borderId="0" xfId="0" applyNumberFormat="1" applyFont="1" applyFill="1"/>
    <xf numFmtId="0" fontId="3" fillId="3" borderId="0" xfId="0" applyFont="1" applyFill="1"/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E4F92"/>
  </sheetPr>
  <dimension ref="A1:B54"/>
  <sheetViews>
    <sheetView showGridLines="0" tabSelected="1" workbookViewId="0">
      <pane ySplit="3" topLeftCell="A4" activePane="bottomLeft" state="frozen"/>
      <selection pane="bottomLeft" sqref="A1:B1"/>
    </sheetView>
  </sheetViews>
  <sheetFormatPr defaultRowHeight="14.25" x14ac:dyDescent="0.45"/>
  <cols>
    <col min="1" max="1" width="6" customWidth="1"/>
    <col min="2" max="2" width="110" customWidth="1"/>
  </cols>
  <sheetData>
    <row r="1" spans="1:2" ht="26" customHeight="1" x14ac:dyDescent="0.45">
      <c r="A1" s="18" t="s">
        <v>0</v>
      </c>
      <c r="B1" s="16"/>
    </row>
    <row r="2" spans="1:2" ht="18" customHeight="1" x14ac:dyDescent="0.45">
      <c r="A2" s="17" t="s">
        <v>1</v>
      </c>
      <c r="B2" s="16"/>
    </row>
    <row r="4" spans="1:2" ht="16.05" customHeight="1" x14ac:dyDescent="0.45">
      <c r="A4" s="15" t="s">
        <v>2</v>
      </c>
      <c r="B4" s="16"/>
    </row>
    <row r="5" spans="1:2" ht="30" customHeight="1" x14ac:dyDescent="0.45">
      <c r="B5" s="1" t="s">
        <v>3</v>
      </c>
    </row>
    <row r="6" spans="1:2" ht="30" customHeight="1" x14ac:dyDescent="0.45">
      <c r="B6" s="1" t="s">
        <v>4</v>
      </c>
    </row>
    <row r="7" spans="1:2" ht="30" customHeight="1" x14ac:dyDescent="0.45">
      <c r="B7" s="1" t="s">
        <v>5</v>
      </c>
    </row>
    <row r="9" spans="1:2" ht="16.05" customHeight="1" x14ac:dyDescent="0.45">
      <c r="A9" s="15" t="s">
        <v>6</v>
      </c>
      <c r="B9" s="16"/>
    </row>
    <row r="10" spans="1:2" ht="30" customHeight="1" x14ac:dyDescent="0.45">
      <c r="B10" s="1" t="s">
        <v>7</v>
      </c>
    </row>
    <row r="11" spans="1:2" ht="30" customHeight="1" x14ac:dyDescent="0.45">
      <c r="B11" s="1" t="s">
        <v>8</v>
      </c>
    </row>
    <row r="12" spans="1:2" ht="30" customHeight="1" x14ac:dyDescent="0.45">
      <c r="B12" s="2" t="s">
        <v>9</v>
      </c>
    </row>
    <row r="13" spans="1:2" ht="30" customHeight="1" x14ac:dyDescent="0.45">
      <c r="B13" s="3" t="s">
        <v>10</v>
      </c>
    </row>
    <row r="15" spans="1:2" ht="16.05" customHeight="1" x14ac:dyDescent="0.45">
      <c r="A15" s="15" t="s">
        <v>11</v>
      </c>
      <c r="B15" s="16"/>
    </row>
    <row r="16" spans="1:2" ht="30" customHeight="1" x14ac:dyDescent="0.45">
      <c r="B16" s="1" t="s">
        <v>12</v>
      </c>
    </row>
    <row r="17" spans="1:2" ht="85.05" customHeight="1" x14ac:dyDescent="0.45">
      <c r="B17" s="2" t="s">
        <v>13</v>
      </c>
    </row>
    <row r="18" spans="1:2" ht="30" customHeight="1" x14ac:dyDescent="0.45">
      <c r="B18" s="3" t="s">
        <v>14</v>
      </c>
    </row>
    <row r="20" spans="1:2" ht="16.05" customHeight="1" x14ac:dyDescent="0.45">
      <c r="A20" s="15" t="s">
        <v>15</v>
      </c>
      <c r="B20" s="16"/>
    </row>
    <row r="21" spans="1:2" ht="18" customHeight="1" x14ac:dyDescent="0.45">
      <c r="A21" s="4">
        <v>1</v>
      </c>
      <c r="B21" s="1" t="s">
        <v>16</v>
      </c>
    </row>
    <row r="22" spans="1:2" ht="30" customHeight="1" x14ac:dyDescent="0.45">
      <c r="B22" s="2" t="s">
        <v>17</v>
      </c>
    </row>
    <row r="23" spans="1:2" ht="30" customHeight="1" x14ac:dyDescent="0.45">
      <c r="B23" s="3" t="s">
        <v>18</v>
      </c>
    </row>
    <row r="25" spans="1:2" ht="18" customHeight="1" x14ac:dyDescent="0.45">
      <c r="A25" s="4">
        <v>2</v>
      </c>
      <c r="B25" s="1" t="s">
        <v>19</v>
      </c>
    </row>
    <row r="26" spans="1:2" ht="40.049999999999997" customHeight="1" x14ac:dyDescent="0.45">
      <c r="B26" s="2" t="s">
        <v>20</v>
      </c>
    </row>
    <row r="27" spans="1:2" ht="30" customHeight="1" x14ac:dyDescent="0.45">
      <c r="B27" s="3" t="s">
        <v>21</v>
      </c>
    </row>
    <row r="29" spans="1:2" ht="18" customHeight="1" x14ac:dyDescent="0.45">
      <c r="A29" s="4">
        <v>3</v>
      </c>
      <c r="B29" s="1" t="s">
        <v>22</v>
      </c>
    </row>
    <row r="30" spans="1:2" ht="45" customHeight="1" x14ac:dyDescent="0.45">
      <c r="B30" s="2" t="s">
        <v>23</v>
      </c>
    </row>
    <row r="31" spans="1:2" ht="30" customHeight="1" x14ac:dyDescent="0.45">
      <c r="B31" s="3" t="s">
        <v>24</v>
      </c>
    </row>
    <row r="33" spans="1:2" ht="18" customHeight="1" x14ac:dyDescent="0.45">
      <c r="A33" s="4">
        <v>4</v>
      </c>
      <c r="B33" s="1" t="s">
        <v>25</v>
      </c>
    </row>
    <row r="34" spans="1:2" ht="30" customHeight="1" x14ac:dyDescent="0.45">
      <c r="B34" s="2" t="s">
        <v>26</v>
      </c>
    </row>
    <row r="35" spans="1:2" ht="30" customHeight="1" x14ac:dyDescent="0.45">
      <c r="B35" s="3" t="s">
        <v>27</v>
      </c>
    </row>
    <row r="37" spans="1:2" ht="18" customHeight="1" x14ac:dyDescent="0.45">
      <c r="A37" s="4">
        <v>5</v>
      </c>
      <c r="B37" s="1" t="s">
        <v>28</v>
      </c>
    </row>
    <row r="38" spans="1:2" ht="45" customHeight="1" x14ac:dyDescent="0.45">
      <c r="B38" s="2" t="s">
        <v>29</v>
      </c>
    </row>
    <row r="39" spans="1:2" ht="30" customHeight="1" x14ac:dyDescent="0.45">
      <c r="B39" s="3" t="s">
        <v>30</v>
      </c>
    </row>
    <row r="41" spans="1:2" ht="18" customHeight="1" x14ac:dyDescent="0.45">
      <c r="A41" s="4">
        <v>6</v>
      </c>
      <c r="B41" s="1" t="s">
        <v>31</v>
      </c>
    </row>
    <row r="42" spans="1:2" ht="40.049999999999997" customHeight="1" x14ac:dyDescent="0.45">
      <c r="B42" s="2" t="s">
        <v>32</v>
      </c>
    </row>
    <row r="43" spans="1:2" ht="30" customHeight="1" x14ac:dyDescent="0.45">
      <c r="B43" s="3" t="s">
        <v>33</v>
      </c>
    </row>
    <row r="45" spans="1:2" ht="16.05" customHeight="1" x14ac:dyDescent="0.45">
      <c r="A45" s="15" t="s">
        <v>34</v>
      </c>
      <c r="B45" s="16"/>
    </row>
    <row r="46" spans="1:2" x14ac:dyDescent="0.45">
      <c r="B46" s="1" t="s">
        <v>35</v>
      </c>
    </row>
    <row r="47" spans="1:2" x14ac:dyDescent="0.45">
      <c r="B47" s="1" t="s">
        <v>36</v>
      </c>
    </row>
    <row r="48" spans="1:2" x14ac:dyDescent="0.45">
      <c r="B48" s="1" t="s">
        <v>37</v>
      </c>
    </row>
    <row r="50" spans="1:2" ht="16.05" customHeight="1" x14ac:dyDescent="0.45">
      <c r="A50" s="15" t="s">
        <v>38</v>
      </c>
      <c r="B50" s="16"/>
    </row>
    <row r="51" spans="1:2" x14ac:dyDescent="0.45">
      <c r="A51" s="5"/>
      <c r="B51" s="1" t="s">
        <v>39</v>
      </c>
    </row>
    <row r="52" spans="1:2" x14ac:dyDescent="0.45">
      <c r="A52" s="6"/>
      <c r="B52" s="1" t="s">
        <v>40</v>
      </c>
    </row>
    <row r="53" spans="1:2" ht="15.75" x14ac:dyDescent="0.5">
      <c r="A53" s="7"/>
      <c r="B53" s="1" t="s">
        <v>41</v>
      </c>
    </row>
    <row r="54" spans="1:2" x14ac:dyDescent="0.45">
      <c r="A54" s="2"/>
      <c r="B54" s="1" t="s">
        <v>42</v>
      </c>
    </row>
  </sheetData>
  <mergeCells count="8">
    <mergeCell ref="A1:B1"/>
    <mergeCell ref="A9:B9"/>
    <mergeCell ref="A50:B50"/>
    <mergeCell ref="A4:B4"/>
    <mergeCell ref="A20:B20"/>
    <mergeCell ref="A2:B2"/>
    <mergeCell ref="A15:B15"/>
    <mergeCell ref="A45:B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H28"/>
  <sheetViews>
    <sheetView showGridLines="0" workbookViewId="0">
      <pane ySplit="4" topLeftCell="A5" activePane="bottomLeft" state="frozen"/>
      <selection pane="bottomLeft"/>
    </sheetView>
  </sheetViews>
  <sheetFormatPr defaultRowHeight="14.25" x14ac:dyDescent="0.45"/>
  <cols>
    <col min="1" max="2" width="13" customWidth="1"/>
    <col min="3" max="3" width="4" customWidth="1"/>
    <col min="4" max="4" width="50" customWidth="1"/>
  </cols>
  <sheetData>
    <row r="1" spans="1:8" ht="26" customHeight="1" x14ac:dyDescent="0.45">
      <c r="A1" s="18" t="s">
        <v>43</v>
      </c>
      <c r="B1" s="16"/>
      <c r="C1" s="16"/>
      <c r="D1" s="16"/>
      <c r="E1" s="16"/>
      <c r="F1" s="16"/>
      <c r="G1" s="16"/>
      <c r="H1" s="16"/>
    </row>
    <row r="2" spans="1:8" ht="18" customHeight="1" x14ac:dyDescent="0.45">
      <c r="A2" s="17" t="s">
        <v>44</v>
      </c>
      <c r="B2" s="16"/>
      <c r="C2" s="16"/>
      <c r="D2" s="16"/>
      <c r="E2" s="16"/>
      <c r="F2" s="16"/>
      <c r="G2" s="16"/>
      <c r="H2" s="16"/>
    </row>
    <row r="4" spans="1:8" x14ac:dyDescent="0.45">
      <c r="A4" s="8" t="s">
        <v>45</v>
      </c>
      <c r="B4" s="8" t="s">
        <v>46</v>
      </c>
    </row>
    <row r="5" spans="1:8" ht="28.5" x14ac:dyDescent="0.45">
      <c r="A5" s="9">
        <v>10.54</v>
      </c>
      <c r="B5" s="9">
        <v>10.47</v>
      </c>
      <c r="D5" s="3" t="s">
        <v>47</v>
      </c>
    </row>
    <row r="6" spans="1:8" x14ac:dyDescent="0.45">
      <c r="A6" s="9">
        <v>10.29</v>
      </c>
      <c r="B6" s="9">
        <v>10.79</v>
      </c>
    </row>
    <row r="7" spans="1:8" x14ac:dyDescent="0.45">
      <c r="A7" s="9">
        <v>9.91</v>
      </c>
      <c r="B7" s="9">
        <v>8.49</v>
      </c>
    </row>
    <row r="8" spans="1:8" x14ac:dyDescent="0.45">
      <c r="A8" s="9">
        <v>10.15</v>
      </c>
      <c r="B8" s="9">
        <v>7.93</v>
      </c>
    </row>
    <row r="9" spans="1:8" x14ac:dyDescent="0.45">
      <c r="A9" s="9">
        <v>10.119999999999999</v>
      </c>
      <c r="B9" s="9">
        <v>8.4</v>
      </c>
    </row>
    <row r="10" spans="1:8" x14ac:dyDescent="0.45">
      <c r="A10" s="9">
        <v>10.14</v>
      </c>
      <c r="B10" s="9">
        <v>9.3000000000000007</v>
      </c>
    </row>
    <row r="11" spans="1:8" x14ac:dyDescent="0.45">
      <c r="A11" s="9">
        <v>10.35</v>
      </c>
      <c r="B11" s="9">
        <v>11.37</v>
      </c>
    </row>
    <row r="12" spans="1:8" x14ac:dyDescent="0.45">
      <c r="A12" s="9">
        <v>9.8800000000000008</v>
      </c>
      <c r="B12" s="9">
        <v>9.4</v>
      </c>
    </row>
    <row r="13" spans="1:8" x14ac:dyDescent="0.45">
      <c r="A13" s="9">
        <v>10.44</v>
      </c>
      <c r="B13" s="9">
        <v>11.06</v>
      </c>
    </row>
    <row r="14" spans="1:8" x14ac:dyDescent="0.45">
      <c r="A14" s="9">
        <v>9.92</v>
      </c>
      <c r="B14" s="9">
        <v>8.3800000000000008</v>
      </c>
    </row>
    <row r="15" spans="1:8" x14ac:dyDescent="0.45">
      <c r="A15" s="9">
        <v>10.15</v>
      </c>
      <c r="B15" s="9">
        <v>9.11</v>
      </c>
    </row>
    <row r="16" spans="1:8" x14ac:dyDescent="0.45">
      <c r="A16" s="9">
        <v>10.42</v>
      </c>
      <c r="B16" s="9">
        <v>9.7899999999999991</v>
      </c>
    </row>
    <row r="17" spans="1:2" x14ac:dyDescent="0.45">
      <c r="A17" s="9">
        <v>10.37</v>
      </c>
      <c r="B17" s="9">
        <v>10.81</v>
      </c>
    </row>
    <row r="18" spans="1:2" x14ac:dyDescent="0.45">
      <c r="A18" s="9">
        <v>10.029999999999999</v>
      </c>
      <c r="B18" s="9">
        <v>8.83</v>
      </c>
    </row>
    <row r="19" spans="1:2" x14ac:dyDescent="0.45">
      <c r="A19" s="9">
        <v>10.64</v>
      </c>
      <c r="B19" s="9">
        <v>10.26</v>
      </c>
    </row>
    <row r="20" spans="1:2" x14ac:dyDescent="0.45">
      <c r="A20" s="9">
        <v>10.29</v>
      </c>
      <c r="B20" s="9">
        <v>11</v>
      </c>
    </row>
    <row r="21" spans="1:2" x14ac:dyDescent="0.45">
      <c r="A21" s="9">
        <v>9.9600000000000009</v>
      </c>
      <c r="B21" s="9">
        <v>8.4700000000000006</v>
      </c>
    </row>
    <row r="22" spans="1:2" x14ac:dyDescent="0.45">
      <c r="A22" s="9">
        <v>10.210000000000001</v>
      </c>
      <c r="B22" s="9">
        <v>9.6</v>
      </c>
    </row>
    <row r="23" spans="1:2" x14ac:dyDescent="0.45">
      <c r="A23" s="9">
        <v>9.99</v>
      </c>
      <c r="B23" s="9">
        <v>8.18</v>
      </c>
    </row>
    <row r="24" spans="1:2" x14ac:dyDescent="0.45">
      <c r="A24" s="9">
        <v>10.31</v>
      </c>
      <c r="B24" s="9">
        <v>9.64</v>
      </c>
    </row>
    <row r="25" spans="1:2" x14ac:dyDescent="0.45">
      <c r="A25" s="9">
        <v>9.86</v>
      </c>
      <c r="B25" s="9">
        <v>9.56</v>
      </c>
    </row>
    <row r="26" spans="1:2" x14ac:dyDescent="0.45">
      <c r="A26" s="9">
        <v>10.32</v>
      </c>
      <c r="B26" s="9">
        <v>10.73</v>
      </c>
    </row>
    <row r="27" spans="1:2" x14ac:dyDescent="0.45">
      <c r="A27" s="9">
        <v>9.76</v>
      </c>
      <c r="B27" s="9">
        <v>7.68</v>
      </c>
    </row>
    <row r="28" spans="1:2" x14ac:dyDescent="0.45">
      <c r="A28" s="9">
        <v>10.47</v>
      </c>
      <c r="B28" s="9">
        <v>8.24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E4F92"/>
  </sheetPr>
  <dimension ref="A1:H16"/>
  <sheetViews>
    <sheetView showGridLines="0" workbookViewId="0">
      <pane ySplit="3" topLeftCell="A4" activePane="bottomLeft" state="frozen"/>
      <selection pane="bottomLeft"/>
    </sheetView>
  </sheetViews>
  <sheetFormatPr defaultRowHeight="14.25" x14ac:dyDescent="0.45"/>
  <cols>
    <col min="1" max="1" width="34" customWidth="1"/>
    <col min="2" max="2" width="13" customWidth="1"/>
    <col min="3" max="3" width="4" customWidth="1"/>
    <col min="4" max="4" width="50" customWidth="1"/>
  </cols>
  <sheetData>
    <row r="1" spans="1:8" ht="26" customHeight="1" x14ac:dyDescent="0.45">
      <c r="A1" s="18" t="s">
        <v>48</v>
      </c>
      <c r="B1" s="16"/>
      <c r="C1" s="16"/>
      <c r="D1" s="16"/>
      <c r="E1" s="16"/>
      <c r="F1" s="16"/>
      <c r="G1" s="16"/>
      <c r="H1" s="16"/>
    </row>
    <row r="2" spans="1:8" ht="18" customHeight="1" x14ac:dyDescent="0.45">
      <c r="A2" s="17" t="s">
        <v>49</v>
      </c>
      <c r="B2" s="16"/>
      <c r="C2" s="16"/>
      <c r="D2" s="16"/>
      <c r="E2" s="16"/>
      <c r="F2" s="16"/>
      <c r="G2" s="16"/>
      <c r="H2" s="16"/>
    </row>
    <row r="4" spans="1:8" ht="16.05" customHeight="1" x14ac:dyDescent="0.45">
      <c r="A4" s="15" t="s">
        <v>50</v>
      </c>
      <c r="B4" s="16"/>
      <c r="C4" s="16"/>
      <c r="D4" s="16"/>
      <c r="E4" s="16"/>
      <c r="F4" s="16"/>
      <c r="G4" s="16"/>
      <c r="H4" s="16"/>
    </row>
    <row r="5" spans="1:8" x14ac:dyDescent="0.45">
      <c r="A5" s="10" t="s">
        <v>51</v>
      </c>
      <c r="B5" s="11">
        <v>120</v>
      </c>
    </row>
    <row r="7" spans="1:8" ht="16.05" customHeight="1" x14ac:dyDescent="0.45">
      <c r="A7" s="15" t="s">
        <v>52</v>
      </c>
      <c r="B7" s="16"/>
      <c r="C7" s="16"/>
      <c r="D7" s="16"/>
      <c r="E7" s="16"/>
      <c r="F7" s="16"/>
      <c r="G7" s="16"/>
      <c r="H7" s="16"/>
    </row>
    <row r="8" spans="1:8" ht="313.5" x14ac:dyDescent="0.45">
      <c r="A8" s="10" t="s">
        <v>53</v>
      </c>
      <c r="B8" s="12">
        <v>10.199999999999999</v>
      </c>
      <c r="C8" s="3" t="s">
        <v>54</v>
      </c>
    </row>
    <row r="9" spans="1:8" ht="171" x14ac:dyDescent="0.45">
      <c r="A9" s="10" t="s">
        <v>55</v>
      </c>
      <c r="B9" s="13">
        <f>B5*B8</f>
        <v>1224</v>
      </c>
      <c r="C9" s="3" t="s">
        <v>56</v>
      </c>
    </row>
    <row r="11" spans="1:8" ht="16.05" customHeight="1" x14ac:dyDescent="0.45">
      <c r="A11" s="15" t="s">
        <v>57</v>
      </c>
      <c r="B11" s="16"/>
      <c r="C11" s="16"/>
      <c r="D11" s="16"/>
      <c r="E11" s="16"/>
      <c r="F11" s="16"/>
      <c r="G11" s="16"/>
      <c r="H11" s="16"/>
    </row>
    <row r="12" spans="1:8" ht="299.25" x14ac:dyDescent="0.45">
      <c r="A12" s="10" t="s">
        <v>53</v>
      </c>
      <c r="B12" s="12">
        <v>9.6</v>
      </c>
      <c r="C12" s="3" t="s">
        <v>58</v>
      </c>
    </row>
    <row r="13" spans="1:8" ht="171" x14ac:dyDescent="0.45">
      <c r="A13" s="10" t="s">
        <v>55</v>
      </c>
      <c r="B13" s="13">
        <f>B5*B12</f>
        <v>1152</v>
      </c>
      <c r="C13" s="3" t="s">
        <v>59</v>
      </c>
    </row>
    <row r="15" spans="1:8" ht="16.05" customHeight="1" x14ac:dyDescent="0.45">
      <c r="A15" s="15" t="s">
        <v>60</v>
      </c>
      <c r="B15" s="16"/>
      <c r="C15" s="16"/>
      <c r="D15" s="16"/>
      <c r="E15" s="16"/>
      <c r="F15" s="16"/>
      <c r="G15" s="16"/>
      <c r="H15" s="16"/>
    </row>
    <row r="16" spans="1:8" ht="399" x14ac:dyDescent="0.5">
      <c r="A16" s="10" t="s">
        <v>61</v>
      </c>
      <c r="B16" s="14">
        <f>B9-B13</f>
        <v>72</v>
      </c>
      <c r="C16" s="3" t="s">
        <v>62</v>
      </c>
    </row>
  </sheetData>
  <mergeCells count="6">
    <mergeCell ref="A1:H1"/>
    <mergeCell ref="A4:H4"/>
    <mergeCell ref="A15:H15"/>
    <mergeCell ref="A7:H7"/>
    <mergeCell ref="A2:H2"/>
    <mergeCell ref="A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Data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Timour Koupeev</cp:lastModifiedBy>
  <dcterms:created xsi:type="dcterms:W3CDTF">2026-07-05T17:59:51Z</dcterms:created>
  <dcterms:modified xsi:type="dcterms:W3CDTF">2026-07-05T18:09:26Z</dcterms:modified>
</cp:coreProperties>
</file>